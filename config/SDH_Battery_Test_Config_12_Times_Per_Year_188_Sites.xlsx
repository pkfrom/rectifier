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Prajuktra\Downloads\"/>
    </mc:Choice>
  </mc:AlternateContent>
  <xr:revisionPtr revIDLastSave="0" documentId="13_ncr:1_{D278D556-8F62-4B44-97B3-E1A80B0B3D0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ummary" sheetId="1" r:id="rId1"/>
    <sheet name="Plan_14_Rings" sheetId="2" r:id="rId2"/>
    <sheet name="Detailed_Plan" sheetId="3" r:id="rId3"/>
    <sheet name="R00_Separate" sheetId="4" r:id="rId4"/>
    <sheet name="Settings" sheetId="5" r:id="rId5"/>
    <sheet name="Config_12x_Ye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4" l="1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G171" i="3"/>
  <c r="H171" i="3" s="1"/>
  <c r="G170" i="3"/>
  <c r="H170" i="3" s="1"/>
  <c r="G169" i="3"/>
  <c r="H169" i="3" s="1"/>
  <c r="G168" i="3"/>
  <c r="H168" i="3" s="1"/>
  <c r="G167" i="3"/>
  <c r="H167" i="3" s="1"/>
  <c r="H166" i="3"/>
  <c r="G166" i="3"/>
  <c r="G165" i="3"/>
  <c r="H165" i="3" s="1"/>
  <c r="G164" i="3"/>
  <c r="H164" i="3" s="1"/>
  <c r="G163" i="3"/>
  <c r="H163" i="3" s="1"/>
  <c r="G162" i="3"/>
  <c r="H162" i="3" s="1"/>
  <c r="G161" i="3"/>
  <c r="H161" i="3" s="1"/>
  <c r="G160" i="3"/>
  <c r="H160" i="3" s="1"/>
  <c r="G159" i="3"/>
  <c r="H159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H115" i="3"/>
  <c r="G115" i="3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H38" i="3"/>
  <c r="G38" i="3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</calcChain>
</file>

<file path=xl/sharedStrings.xml><?xml version="1.0" encoding="utf-8"?>
<sst xmlns="http://schemas.openxmlformats.org/spreadsheetml/2006/main" count="4703" uniqueCount="1294">
  <si>
    <t>แผน Automatic Battery Test ระบบ SDH — 188 Sites</t>
  </si>
  <si>
    <t>KPI</t>
  </si>
  <si>
    <t>ค่า</t>
  </si>
  <si>
    <t>หน่วย</t>
  </si>
  <si>
    <t>หมายเหตุ</t>
  </si>
  <si>
    <t>แผน</t>
  </si>
  <si>
    <t>จำนวน Sites ทั้งหมด</t>
  </si>
  <si>
    <t>Sites</t>
  </si>
  <si>
    <t>ข้อมูลจากแผนงานเปลี่ยน Battery SDH#3</t>
  </si>
  <si>
    <t>จำนวนรอบสูงสุด</t>
  </si>
  <si>
    <t>รอบ</t>
  </si>
  <si>
    <t>SDH Ring หลัก</t>
  </si>
  <si>
    <t>Ring</t>
  </si>
  <si>
    <t>R01-R14</t>
  </si>
  <si>
    <t>เวลาต่อรอบ</t>
  </si>
  <si>
    <t>นาที</t>
  </si>
  <si>
    <t>Sites ใน R01-R14</t>
  </si>
  <si>
    <t>Test พร้อมกัน Ring ละ 1 Site</t>
  </si>
  <si>
    <t>เวลารวม R01-R14</t>
  </si>
  <si>
    <t>ชั่วโมง</t>
  </si>
  <si>
    <t>จำนวน Sites</t>
  </si>
  <si>
    <t>เวลาที่ Ring ใช้ (ชม.)</t>
  </si>
  <si>
    <t>หลักการจัดคิว</t>
  </si>
  <si>
    <t>R01</t>
  </si>
  <si>
    <t>1</t>
  </si>
  <si>
    <t>R01-R14 เริ่ม Test พร้อมกันได้</t>
  </si>
  <si>
    <t>R02</t>
  </si>
  <si>
    <t>2</t>
  </si>
  <si>
    <t>ในแต่ละ Ring Test ได้ครั้งละ 1 Site</t>
  </si>
  <si>
    <t>R03</t>
  </si>
  <si>
    <t>3</t>
  </si>
  <si>
    <t>รอบถัดไปเริ่มทุก 30 นาที</t>
  </si>
  <si>
    <t>R04</t>
  </si>
  <si>
    <t>4</t>
  </si>
  <si>
    <t>Ring ที่ Sites หมดแล้วหยุด ส่วน Ring อื่นทำต่อ</t>
  </si>
  <si>
    <t>R05</t>
  </si>
  <si>
    <t>5</t>
  </si>
  <si>
    <t>R00 แยกทดสอบต่างหาก เนื่องจากในต้นฉบับระบุ Ring No. = 0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</si>
  <si>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</si>
  <si>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</si>
  <si>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</si>
  <si>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</si>
  <si>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</si>
  <si>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</si>
  <si>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</si>
  <si>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</si>
  <si>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</si>
  <si>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R00</t>
  </si>
  <si>
    <t>R01-R14 สามารถเริ่มพร้อมกันได้ โดยแต่ละ Ring มี Test ได้ครั้งละ 1 Site เท่านั้น</t>
  </si>
  <si>
    <t>Ring ที่มีจำนวน Sites น้อยกว่าจะจบก่อน และไม่ต้องรอ Ring อื่น</t>
  </si>
  <si>
    <t>R00 ถูกแยกไว้ต่างหากตามข้อมูลต้นฉบับที่ระบุ Ring No. = 0</t>
  </si>
  <si>
    <t>แผนทดสอบพร้อมกัน 14 Ring — Ring ละ 1 Site / 30 นาที</t>
  </si>
  <si>
    <t>Start</t>
  </si>
  <si>
    <t>End</t>
  </si>
  <si>
    <t>R01-01 | BAT | บางกะปิ</t>
  </si>
  <si>
    <t>R02-01 | SS | แสนแสบ</t>
  </si>
  <si>
    <t>R03-01 | NCN | นวลจันทร์</t>
  </si>
  <si>
    <t>R04-01 | LB | ลาดกระบัง</t>
  </si>
  <si>
    <t>R05-01 | TPT | เทพารักษ์</t>
  </si>
  <si>
    <t>R06-01 | MA | ไม้อัด</t>
  </si>
  <si>
    <t>R07-01 | JRN | แจงร้อน</t>
  </si>
  <si>
    <t>R08-01 | STT | ธนบุรีใต้</t>
  </si>
  <si>
    <t>R09-01 | WL | วัดเลียบ</t>
  </si>
  <si>
    <t>R10-01 | KT | คลองเตย</t>
  </si>
  <si>
    <t>R11-01 | TTT | ถนนตก</t>
  </si>
  <si>
    <t>R12-01 | BLN | บางเลน</t>
  </si>
  <si>
    <t>R13-01 | VDT | วิภาวดี</t>
  </si>
  <si>
    <t>R14-01 | JWT | แจ้งวัฒนะ</t>
  </si>
  <si>
    <t>R01-02 | EM | เอกมัย</t>
  </si>
  <si>
    <t>R02-02 | DDG | ดินแดง</t>
  </si>
  <si>
    <t>R03-02 | PTN | พัฒนาการ</t>
  </si>
  <si>
    <t>R04-02 | STW | สุวินทวงศ์</t>
  </si>
  <si>
    <t>R05-02 | BTR | บางตำหรุ</t>
  </si>
  <si>
    <t>R06-02 | SRS | สำโรง</t>
  </si>
  <si>
    <t>R07-02 | BC | บางกระเจ้า</t>
  </si>
  <si>
    <t>R08-02 | KSC | คลองสนามชัย</t>
  </si>
  <si>
    <t>R09-02 | SD | สะพานดำ</t>
  </si>
  <si>
    <t>R10-02 | PK | พระโขนง</t>
  </si>
  <si>
    <t>R11-02 | TS | ตากสิน</t>
  </si>
  <si>
    <t>R12-02 | KMS | คลองมหาสวัสดิ์</t>
  </si>
  <si>
    <t>R13-02 | MS | มักกะสัน</t>
  </si>
  <si>
    <t>R14-02 | M1 | เมืองทอง 1</t>
  </si>
  <si>
    <t>R01-03 | PPG | พร้อมพงษ์</t>
  </si>
  <si>
    <t>R02-03 | HK | ห้วยขวาง</t>
  </si>
  <si>
    <t>R03-03 | ONT | อ่อนนุช</t>
  </si>
  <si>
    <t>R04-03 | MMR | มิตรไมตรี</t>
  </si>
  <si>
    <t>R05-03 | BPA | บางปลา</t>
  </si>
  <si>
    <t>R06-03 | PJ | ปู่เจ้า</t>
  </si>
  <si>
    <t>R07-03 | KU | ครุใน</t>
  </si>
  <si>
    <t>R08-03 | BSN | บ้านคลองสวน</t>
  </si>
  <si>
    <t>R09-03 | NLG | นางเลิ้ง</t>
  </si>
  <si>
    <t>R10-03 | SA | สายน้ำทิพย์</t>
  </si>
  <si>
    <t>R11-03 | MM | มหาเมฆ</t>
  </si>
  <si>
    <t>R12-03 | KSK | คลองสิบศอก</t>
  </si>
  <si>
    <t>R13-03 | YT | โยธี</t>
  </si>
  <si>
    <t>R14-03 | M3 | เมืองทอง 3</t>
  </si>
  <si>
    <t>R01-04 | PA | ประสานมิตร</t>
  </si>
  <si>
    <t>R02-04 | RDT | รัชดาภิเษก</t>
  </si>
  <si>
    <t>R03-04 | PWE | ประเวศ</t>
  </si>
  <si>
    <t>R04-04 | NJT | หนองจอก</t>
  </si>
  <si>
    <t>R05-04 | CKY | จระเข้ใหญ่</t>
  </si>
  <si>
    <t>R06-04 | TK | ท้องคุ้ง</t>
  </si>
  <si>
    <t>R07-04 | PD | พระประแดง</t>
  </si>
  <si>
    <t>R08-04 | WPC | วัดประชาบำรุง</t>
  </si>
  <si>
    <t>R09-04 | BR | บางขุนพรหม</t>
  </si>
  <si>
    <t>R10-04 | SAM | สามย่าน</t>
  </si>
  <si>
    <t>R11-04 | YK | เย็นอากาศ</t>
  </si>
  <si>
    <t>R12-04 | KUS | ขุนศรี</t>
  </si>
  <si>
    <t>R13-04 | PYA | พญาไท</t>
  </si>
  <si>
    <t>R14-04 | BD | บางพูด</t>
  </si>
  <si>
    <t>R01-05 | PI | ไผ่สิงโต</t>
  </si>
  <si>
    <t>R02-05 | WT | วังทองหลาง</t>
  </si>
  <si>
    <t>R03-05 | BCN | บางชัน</t>
  </si>
  <si>
    <t>R04-05 | MB | มีนบุรี</t>
  </si>
  <si>
    <t>R05-05 | BS | บางเสาธง</t>
  </si>
  <si>
    <t>R06-05 | SKT | พระนครใต้</t>
  </si>
  <si>
    <t>R07-05 | BK | บางปลากด</t>
  </si>
  <si>
    <t>R08-05 | BKDs | บางกระดี</t>
  </si>
  <si>
    <t>R09-05 | VJR | วชิรพยาบาล</t>
  </si>
  <si>
    <t>R10-05 | PM | ปทุมวัน</t>
  </si>
  <si>
    <t>R11-05 | NS | นนทรี</t>
  </si>
  <si>
    <t>R12-05 | SIT | ไทรน้อย</t>
  </si>
  <si>
    <t>R13-05 | SM | สายลม</t>
  </si>
  <si>
    <t>R14-05 | KRT | คลองรังสิต</t>
  </si>
  <si>
    <t>R01-06 | LN | ลุมพินี</t>
  </si>
  <si>
    <t>R02-06 | GK | เกาะกลาง</t>
  </si>
  <si>
    <t>R03-06 | RT | รามอินทรา</t>
  </si>
  <si>
    <t>R04-06 | NMI | นิมิตรใหม่</t>
  </si>
  <si>
    <t>R05-06 | KRI | คลองร้อย</t>
  </si>
  <si>
    <t>R06-06 | SO | สวนส้ม</t>
  </si>
  <si>
    <t>R07-06 | KS | คลองสรรพสามิต</t>
  </si>
  <si>
    <t>R08-06 | EKC | เอกชัย</t>
  </si>
  <si>
    <t>R09-06 | SN | สามเสน</t>
  </si>
  <si>
    <t>R10-06 | SY | สี่พระยา</t>
  </si>
  <si>
    <t>R11-06 | YNW | ยานนาวา</t>
  </si>
  <si>
    <t>R12-06 | BBO | บางบัวทอง</t>
  </si>
  <si>
    <t>R13-06 | PP | ประดิพัทธิ์</t>
  </si>
  <si>
    <t>R14-06 | KM | คลองใหม่</t>
  </si>
  <si>
    <t>R01-07 | CLT | ชิดลม</t>
  </si>
  <si>
    <t>R02-07 | KJ | คลองจั่น</t>
  </si>
  <si>
    <t>R03-07 | KNY | คันนายาว</t>
  </si>
  <si>
    <t>R04-07 | KKM | คลองกระเทียม</t>
  </si>
  <si>
    <t>R05-07 | MG | เมืองใหม่</t>
  </si>
  <si>
    <t>R06-07 | PN | ปากน้ำ</t>
  </si>
  <si>
    <t>R07-07 | WKS | วัดคู่สร้าง</t>
  </si>
  <si>
    <t>R08-07 | NH | หนองแขม</t>
  </si>
  <si>
    <t>R09-07 | NKT | พระนครเหนือ</t>
  </si>
  <si>
    <t>R10-07 | SWG | ศรีเวียง</t>
  </si>
  <si>
    <t>R11-07 | BPP | บางโพงพาง</t>
  </si>
  <si>
    <t>R12-07 | BRY | บางรักใหญ่</t>
  </si>
  <si>
    <t>R13-07 | CTJ | จตุจักร</t>
  </si>
  <si>
    <t>R14-07 | TH | ทุ่งสองห้อง</t>
  </si>
  <si>
    <t>R01-08 | WB | วังเพชรบูรณ์</t>
  </si>
  <si>
    <t>R02-08 | RH | รามคำแหง</t>
  </si>
  <si>
    <t>R03-08 | AUG | ออเงิน</t>
  </si>
  <si>
    <t>R04-08 | RK | ร่มเกล้า</t>
  </si>
  <si>
    <t>R05-08 | KDT | คลองด่าน</t>
  </si>
  <si>
    <t>R06-08 | TBN | ท้ายบ้าน</t>
  </si>
  <si>
    <t>R07-08 | TBR | ธนบุรีรมย์</t>
  </si>
  <si>
    <t>R08-08 | TWN | ทวีวัฒนา</t>
  </si>
  <si>
    <t>R09-08 | RC | รุ่งประชา</t>
  </si>
  <si>
    <t>R10-08 | SRK | สุรศักดิ์</t>
  </si>
  <si>
    <t>R11-08 | BL | บางโคล่</t>
  </si>
  <si>
    <t>R12-08 | RTB | รัตนาธิเบศร์</t>
  </si>
  <si>
    <t>R13-08 | BET | บางซื่อ</t>
  </si>
  <si>
    <t>R14-08 | PC | ประชาชื่น</t>
  </si>
  <si>
    <t>R01-09 | KP | กิ่งเพชร</t>
  </si>
  <si>
    <t>R02-09 | SV | ศูนย์วิจัย</t>
  </si>
  <si>
    <t>R03-09 | SP | สะพานใหม่</t>
  </si>
  <si>
    <t>R04-09 | TY | ทับยาว</t>
  </si>
  <si>
    <t>R05-09 | RTR | รัตนราช</t>
  </si>
  <si>
    <t>R06-09 | BI | บางปิ้ง</t>
  </si>
  <si>
    <t>R07-09 | WKP | วัดกำแพง</t>
  </si>
  <si>
    <t>R08-09 | BOT | บางกอกน้อย</t>
  </si>
  <si>
    <t>R09-09 | BY | บางยี่ขัน</t>
  </si>
  <si>
    <t>R10-09 | SU | สุรวงศ์</t>
  </si>
  <si>
    <t>-</t>
  </si>
  <si>
    <t>R13-09 | LPT | ลาดพร้าว</t>
  </si>
  <si>
    <t>R14-09 | BZ | บางซ่อน</t>
  </si>
  <si>
    <t>R01-10 | RPR | ราชปรารภ</t>
  </si>
  <si>
    <t>R02-10 | PPL | พลับพลา</t>
  </si>
  <si>
    <t>R03-10 | DM | ดอนเมือง</t>
  </si>
  <si>
    <t>R04-10 | CG | ฉลองกรุง</t>
  </si>
  <si>
    <t>R05-10 | SRH | เสาระหง</t>
  </si>
  <si>
    <t>R06-10 | BU | บางปู</t>
  </si>
  <si>
    <t>R07-10 | BM | บางมด</t>
  </si>
  <si>
    <t>R08-10 | BKE | บางแค</t>
  </si>
  <si>
    <t>R09-10 | CPI | ฉิมพลี</t>
  </si>
  <si>
    <t>R10-10 | SL | สีลม</t>
  </si>
  <si>
    <t>R13-10 | KE | เกษตร</t>
  </si>
  <si>
    <t>R14-10 | SYI | สวนใหญ่</t>
  </si>
  <si>
    <t>R01-11 | NN | นานา</t>
  </si>
  <si>
    <t>R03-11 | LK | ลาดปลาเค้า</t>
  </si>
  <si>
    <t>R05-11 | LPG | หลวงแพ่ง</t>
  </si>
  <si>
    <t>R06-11 | KO | คอต่อ</t>
  </si>
  <si>
    <t>R07-11 | RN | ราษฎร์บูรณะ</t>
  </si>
  <si>
    <t>R08-11 | KWS | คลองวัดสิงห์</t>
  </si>
  <si>
    <t>R09-11 | PO | พรานนก</t>
  </si>
  <si>
    <t>R13-11 | CK | จันทร์เกษม</t>
  </si>
  <si>
    <t>R14-11 | SB | สนามบินน้ำ</t>
  </si>
  <si>
    <t>R05-12 | BJ | บางน้ำจืด</t>
  </si>
  <si>
    <t>R06-12 | PR | แพรกษา</t>
  </si>
  <si>
    <t>R08-12 | BB | บางบอน</t>
  </si>
  <si>
    <t>R09-12 | PS | เพชรเกษม</t>
  </si>
  <si>
    <t>R13-12 | SSA | ทรงสะอาด</t>
  </si>
  <si>
    <t>R14-12 | NR | นนทบุรี</t>
  </si>
  <si>
    <t>R05-13 | BN | บางโฉลง</t>
  </si>
  <si>
    <t>R06-13 | PTS | พุทธรักษา</t>
  </si>
  <si>
    <t>R09-13 | BPI | บางไผ่</t>
  </si>
  <si>
    <t>R13-13 | MC | หมอชิต</t>
  </si>
  <si>
    <t>R14-13 | CPR | ชลประทาน</t>
  </si>
  <si>
    <t>R05-14 | KI | กิ่งแก้ว</t>
  </si>
  <si>
    <t>R06-14 | BMU | บางเมือง</t>
  </si>
  <si>
    <t>R09-14 | MN | มไหสวรรค์</t>
  </si>
  <si>
    <t>R14-14 | PE | ปากเกร็ด</t>
  </si>
  <si>
    <t>R05-15 | SG | สวนหลวง</t>
  </si>
  <si>
    <t>R06-15 | BRG | แบริ่ง</t>
  </si>
  <si>
    <t>R09-15 | LYA | ลาดหญ้า</t>
  </si>
  <si>
    <t>R14-15 | LSI | หลักสี่</t>
  </si>
  <si>
    <t>R05-16 | SE | ศรีเอี่ยม</t>
  </si>
  <si>
    <t>R06-16 | BG | บางนา</t>
  </si>
  <si>
    <t>R09-16 | TB | ธนบุรี</t>
  </si>
  <si>
    <t>R05-17 | BPT | บางพลี</t>
  </si>
  <si>
    <t>Detailed Automatic Battery Test Plan — R01-R14</t>
  </si>
  <si>
    <t>Seq</t>
  </si>
  <si>
    <t>Ring-Seq</t>
  </si>
  <si>
    <t>ชื่อย่อ</t>
  </si>
  <si>
    <t>สถานี</t>
  </si>
  <si>
    <t>Status</t>
  </si>
  <si>
    <t>Test Voltage (V)</t>
  </si>
  <si>
    <t>End Voltage (V)</t>
  </si>
  <si>
    <t>End Capacity (%)</t>
  </si>
  <si>
    <t>Alarm</t>
  </si>
  <si>
    <t>R01-01</t>
  </si>
  <si>
    <t>BAT</t>
  </si>
  <si>
    <t>บางกะปิ</t>
  </si>
  <si>
    <t>Planned</t>
  </si>
  <si>
    <t>R02-01</t>
  </si>
  <si>
    <t>SS</t>
  </si>
  <si>
    <t>แสนแสบ</t>
  </si>
  <si>
    <t>R03-01</t>
  </si>
  <si>
    <t>NCN</t>
  </si>
  <si>
    <t>นวลจันทร์</t>
  </si>
  <si>
    <t>R04-01</t>
  </si>
  <si>
    <t>LB</t>
  </si>
  <si>
    <t>ลาดกระบัง</t>
  </si>
  <si>
    <t>R05-01</t>
  </si>
  <si>
    <t>TPT</t>
  </si>
  <si>
    <t>เทพารักษ์</t>
  </si>
  <si>
    <t>R06-01</t>
  </si>
  <si>
    <t>MA</t>
  </si>
  <si>
    <t>ไม้อัด</t>
  </si>
  <si>
    <t>R07-01</t>
  </si>
  <si>
    <t>JRN</t>
  </si>
  <si>
    <t>แจงร้อน</t>
  </si>
  <si>
    <t>R08-01</t>
  </si>
  <si>
    <t>STT</t>
  </si>
  <si>
    <t>ธนบุรีใต้</t>
  </si>
  <si>
    <t>R09-01</t>
  </si>
  <si>
    <t>WL</t>
  </si>
  <si>
    <t>วัดเลียบ</t>
  </si>
  <si>
    <t>R10-01</t>
  </si>
  <si>
    <t>KT</t>
  </si>
  <si>
    <t>คลองเตย</t>
  </si>
  <si>
    <t>R11-01</t>
  </si>
  <si>
    <t>TTT</t>
  </si>
  <si>
    <t>ถนนตก</t>
  </si>
  <si>
    <t>R12-01</t>
  </si>
  <si>
    <t>BLN</t>
  </si>
  <si>
    <t>บางเลน</t>
  </si>
  <si>
    <t>R13-01</t>
  </si>
  <si>
    <t>VDT</t>
  </si>
  <si>
    <t>วิภาวดี</t>
  </si>
  <si>
    <t>R14-01</t>
  </si>
  <si>
    <t>JWT</t>
  </si>
  <si>
    <t>แจ้งวัฒนะ</t>
  </si>
  <si>
    <t>R01-02</t>
  </si>
  <si>
    <t>EM</t>
  </si>
  <si>
    <t>เอกมัย</t>
  </si>
  <si>
    <t>R02-02</t>
  </si>
  <si>
    <t>DDG</t>
  </si>
  <si>
    <t>ดินแดง</t>
  </si>
  <si>
    <t>R03-02</t>
  </si>
  <si>
    <t>PTN</t>
  </si>
  <si>
    <t>พัฒนาการ</t>
  </si>
  <si>
    <t>R04-02</t>
  </si>
  <si>
    <t>STW</t>
  </si>
  <si>
    <t>สุวินทวงศ์</t>
  </si>
  <si>
    <t>R05-02</t>
  </si>
  <si>
    <t>BTR</t>
  </si>
  <si>
    <t>บางตำหรุ</t>
  </si>
  <si>
    <t>R06-02</t>
  </si>
  <si>
    <t>SRS</t>
  </si>
  <si>
    <t>สำโรง</t>
  </si>
  <si>
    <t>R07-02</t>
  </si>
  <si>
    <t>BC</t>
  </si>
  <si>
    <t>บางกระเจ้า</t>
  </si>
  <si>
    <t>R08-02</t>
  </si>
  <si>
    <t>KSC</t>
  </si>
  <si>
    <t>คลองสนามชัย</t>
  </si>
  <si>
    <t>R09-02</t>
  </si>
  <si>
    <t>SD</t>
  </si>
  <si>
    <t>สะพานดำ</t>
  </si>
  <si>
    <t>R10-02</t>
  </si>
  <si>
    <t>PK</t>
  </si>
  <si>
    <t>พระโขนง</t>
  </si>
  <si>
    <t>R11-02</t>
  </si>
  <si>
    <t>TS</t>
  </si>
  <si>
    <t>ตากสิน</t>
  </si>
  <si>
    <t>R12-02</t>
  </si>
  <si>
    <t>KMS</t>
  </si>
  <si>
    <t>คลองมหาสวัสดิ์</t>
  </si>
  <si>
    <t>R13-02</t>
  </si>
  <si>
    <t>MS</t>
  </si>
  <si>
    <t>มักกะสัน</t>
  </si>
  <si>
    <t>R14-02</t>
  </si>
  <si>
    <t>M1</t>
  </si>
  <si>
    <t>เมืองทอง 1</t>
  </si>
  <si>
    <t>R01-03</t>
  </si>
  <si>
    <t>PPG</t>
  </si>
  <si>
    <t>พร้อมพงษ์</t>
  </si>
  <si>
    <t>R02-03</t>
  </si>
  <si>
    <t>HK</t>
  </si>
  <si>
    <t>ห้วยขวาง</t>
  </si>
  <si>
    <t>R03-03</t>
  </si>
  <si>
    <t>ONT</t>
  </si>
  <si>
    <t>อ่อนนุช</t>
  </si>
  <si>
    <t>R04-03</t>
  </si>
  <si>
    <t>MMR</t>
  </si>
  <si>
    <t>มิตรไมตรี</t>
  </si>
  <si>
    <t>R05-03</t>
  </si>
  <si>
    <t>BPA</t>
  </si>
  <si>
    <t>บางปลา</t>
  </si>
  <si>
    <t>R06-03</t>
  </si>
  <si>
    <t>PJ</t>
  </si>
  <si>
    <t>ปู่เจ้า</t>
  </si>
  <si>
    <t>R07-03</t>
  </si>
  <si>
    <t>KU</t>
  </si>
  <si>
    <t>ครุใน</t>
  </si>
  <si>
    <t>R08-03</t>
  </si>
  <si>
    <t>BSN</t>
  </si>
  <si>
    <t>บ้านคลองสวน</t>
  </si>
  <si>
    <t>R09-03</t>
  </si>
  <si>
    <t>NLG</t>
  </si>
  <si>
    <t>นางเลิ้ง</t>
  </si>
  <si>
    <t>R10-03</t>
  </si>
  <si>
    <t>SA</t>
  </si>
  <si>
    <t>สายน้ำทิพย์</t>
  </si>
  <si>
    <t>R11-03</t>
  </si>
  <si>
    <t>MM</t>
  </si>
  <si>
    <t>มหาเมฆ</t>
  </si>
  <si>
    <t>R12-03</t>
  </si>
  <si>
    <t>KSK</t>
  </si>
  <si>
    <t>คลองสิบศอก</t>
  </si>
  <si>
    <t>R13-03</t>
  </si>
  <si>
    <t>YT</t>
  </si>
  <si>
    <t>โยธี</t>
  </si>
  <si>
    <t>R14-03</t>
  </si>
  <si>
    <t>M3</t>
  </si>
  <si>
    <t>เมืองทอง 3</t>
  </si>
  <si>
    <t>R01-04</t>
  </si>
  <si>
    <t>PA</t>
  </si>
  <si>
    <t>ประสานมิตร</t>
  </si>
  <si>
    <t>R02-04</t>
  </si>
  <si>
    <t>RDT</t>
  </si>
  <si>
    <t>รัชดาภิเษก</t>
  </si>
  <si>
    <t>R03-04</t>
  </si>
  <si>
    <t>PWE</t>
  </si>
  <si>
    <t>ประเวศ</t>
  </si>
  <si>
    <t>R04-04</t>
  </si>
  <si>
    <t>NJT</t>
  </si>
  <si>
    <t>หนองจอก</t>
  </si>
  <si>
    <t>R05-04</t>
  </si>
  <si>
    <t>CKY</t>
  </si>
  <si>
    <t>จระเข้ใหญ่</t>
  </si>
  <si>
    <t>R06-04</t>
  </si>
  <si>
    <t>TK</t>
  </si>
  <si>
    <t>ท้องคุ้ง</t>
  </si>
  <si>
    <t>R07-04</t>
  </si>
  <si>
    <t>PD</t>
  </si>
  <si>
    <t>พระประแดง</t>
  </si>
  <si>
    <t>R08-04</t>
  </si>
  <si>
    <t>WPC</t>
  </si>
  <si>
    <t>วัดประชาบำรุง</t>
  </si>
  <si>
    <t>R09-04</t>
  </si>
  <si>
    <t>BR</t>
  </si>
  <si>
    <t>บางขุนพรหม</t>
  </si>
  <si>
    <t>R10-04</t>
  </si>
  <si>
    <t>SAM</t>
  </si>
  <si>
    <t>สามย่าน</t>
  </si>
  <si>
    <t>R11-04</t>
  </si>
  <si>
    <t>YK</t>
  </si>
  <si>
    <t>เย็นอากาศ</t>
  </si>
  <si>
    <t>R12-04</t>
  </si>
  <si>
    <t>KUS</t>
  </si>
  <si>
    <t>ขุนศรี</t>
  </si>
  <si>
    <t>R13-04</t>
  </si>
  <si>
    <t>PYA</t>
  </si>
  <si>
    <t>พญาไท</t>
  </si>
  <si>
    <t>R14-04</t>
  </si>
  <si>
    <t>BD</t>
  </si>
  <si>
    <t>บางพูด</t>
  </si>
  <si>
    <t>R01-05</t>
  </si>
  <si>
    <t>PI</t>
  </si>
  <si>
    <t>ไผ่สิงโต</t>
  </si>
  <si>
    <t>R02-05</t>
  </si>
  <si>
    <t>WT</t>
  </si>
  <si>
    <t>วังทองหลาง</t>
  </si>
  <si>
    <t>R03-05</t>
  </si>
  <si>
    <t>BCN</t>
  </si>
  <si>
    <t>บางชัน</t>
  </si>
  <si>
    <t>R04-05</t>
  </si>
  <si>
    <t>MB</t>
  </si>
  <si>
    <t>มีนบุรี</t>
  </si>
  <si>
    <t>R05-05</t>
  </si>
  <si>
    <t>BS</t>
  </si>
  <si>
    <t>บางเสาธง</t>
  </si>
  <si>
    <t>R06-05</t>
  </si>
  <si>
    <t>SKT</t>
  </si>
  <si>
    <t>พระนครใต้</t>
  </si>
  <si>
    <t>R07-05</t>
  </si>
  <si>
    <t>BK</t>
  </si>
  <si>
    <t>บางปลากด</t>
  </si>
  <si>
    <t>R08-05</t>
  </si>
  <si>
    <t>BKDs</t>
  </si>
  <si>
    <t>บางกระดี</t>
  </si>
  <si>
    <t>R09-05</t>
  </si>
  <si>
    <t>VJR</t>
  </si>
  <si>
    <t>วชิรพยาบาล</t>
  </si>
  <si>
    <t>R10-05</t>
  </si>
  <si>
    <t>PM</t>
  </si>
  <si>
    <t>ปทุมวัน</t>
  </si>
  <si>
    <t>R11-05</t>
  </si>
  <si>
    <t>NS</t>
  </si>
  <si>
    <t>นนทรี</t>
  </si>
  <si>
    <t>R12-05</t>
  </si>
  <si>
    <t>SIT</t>
  </si>
  <si>
    <t>ไทรน้อย</t>
  </si>
  <si>
    <t>R13-05</t>
  </si>
  <si>
    <t>SM</t>
  </si>
  <si>
    <t>สายลม</t>
  </si>
  <si>
    <t>R14-05</t>
  </si>
  <si>
    <t>KRT</t>
  </si>
  <si>
    <t>คลองรังสิต</t>
  </si>
  <si>
    <t>R01-06</t>
  </si>
  <si>
    <t>LN</t>
  </si>
  <si>
    <t>ลุมพินี</t>
  </si>
  <si>
    <t>R02-06</t>
  </si>
  <si>
    <t>GK</t>
  </si>
  <si>
    <t>เกาะกลาง</t>
  </si>
  <si>
    <t>R03-06</t>
  </si>
  <si>
    <t>RT</t>
  </si>
  <si>
    <t>รามอินทรา</t>
  </si>
  <si>
    <t>R04-06</t>
  </si>
  <si>
    <t>NMI</t>
  </si>
  <si>
    <t>นิมิตรใหม่</t>
  </si>
  <si>
    <t>R05-06</t>
  </si>
  <si>
    <t>KRI</t>
  </si>
  <si>
    <t>คลองร้อย</t>
  </si>
  <si>
    <t>R06-06</t>
  </si>
  <si>
    <t>SO</t>
  </si>
  <si>
    <t>สวนส้ม</t>
  </si>
  <si>
    <t>R07-06</t>
  </si>
  <si>
    <t>KS</t>
  </si>
  <si>
    <t>คลองสรรพสามิต</t>
  </si>
  <si>
    <t>R08-06</t>
  </si>
  <si>
    <t>EKC</t>
  </si>
  <si>
    <t>เอกชัย</t>
  </si>
  <si>
    <t>R09-06</t>
  </si>
  <si>
    <t>SN</t>
  </si>
  <si>
    <t>สามเสน</t>
  </si>
  <si>
    <t>R10-06</t>
  </si>
  <si>
    <t>SY</t>
  </si>
  <si>
    <t>สี่พระยา</t>
  </si>
  <si>
    <t>R11-06</t>
  </si>
  <si>
    <t>YNW</t>
  </si>
  <si>
    <t>ยานนาวา</t>
  </si>
  <si>
    <t>R12-06</t>
  </si>
  <si>
    <t>BBO</t>
  </si>
  <si>
    <t>บางบัวทอง</t>
  </si>
  <si>
    <t>R13-06</t>
  </si>
  <si>
    <t>PP</t>
  </si>
  <si>
    <t>ประดิพัทธิ์</t>
  </si>
  <si>
    <t>R14-06</t>
  </si>
  <si>
    <t>KM</t>
  </si>
  <si>
    <t>คลองใหม่</t>
  </si>
  <si>
    <t>R01-07</t>
  </si>
  <si>
    <t>CLT</t>
  </si>
  <si>
    <t>ชิดลม</t>
  </si>
  <si>
    <t>R02-07</t>
  </si>
  <si>
    <t>KJ</t>
  </si>
  <si>
    <t>คลองจั่น</t>
  </si>
  <si>
    <t>R03-07</t>
  </si>
  <si>
    <t>KNY</t>
  </si>
  <si>
    <t>คันนายาว</t>
  </si>
  <si>
    <t>R04-07</t>
  </si>
  <si>
    <t>KKM</t>
  </si>
  <si>
    <t>คลองกระเทียม</t>
  </si>
  <si>
    <t>R05-07</t>
  </si>
  <si>
    <t>MG</t>
  </si>
  <si>
    <t>เมืองใหม่</t>
  </si>
  <si>
    <t>R06-07</t>
  </si>
  <si>
    <t>PN</t>
  </si>
  <si>
    <t>ปากน้ำ</t>
  </si>
  <si>
    <t>R07-07</t>
  </si>
  <si>
    <t>WKS</t>
  </si>
  <si>
    <t>วัดคู่สร้าง</t>
  </si>
  <si>
    <t>R08-07</t>
  </si>
  <si>
    <t>NH</t>
  </si>
  <si>
    <t>หนองแขม</t>
  </si>
  <si>
    <t>R09-07</t>
  </si>
  <si>
    <t>NKT</t>
  </si>
  <si>
    <t>พระนครเหนือ</t>
  </si>
  <si>
    <t>R10-07</t>
  </si>
  <si>
    <t>SWG</t>
  </si>
  <si>
    <t>ศรีเวียง</t>
  </si>
  <si>
    <t>R11-07</t>
  </si>
  <si>
    <t>BPP</t>
  </si>
  <si>
    <t>บางโพงพาง</t>
  </si>
  <si>
    <t>R12-07</t>
  </si>
  <si>
    <t>BRY</t>
  </si>
  <si>
    <t>บางรักใหญ่</t>
  </si>
  <si>
    <t>R13-07</t>
  </si>
  <si>
    <t>CTJ</t>
  </si>
  <si>
    <t>จตุจักร</t>
  </si>
  <si>
    <t>R14-07</t>
  </si>
  <si>
    <t>TH</t>
  </si>
  <si>
    <t>ทุ่งสองห้อง</t>
  </si>
  <si>
    <t>R01-08</t>
  </si>
  <si>
    <t>WB</t>
  </si>
  <si>
    <t>วังเพชรบูรณ์</t>
  </si>
  <si>
    <t>R02-08</t>
  </si>
  <si>
    <t>RH</t>
  </si>
  <si>
    <t>รามคำแหง</t>
  </si>
  <si>
    <t>R03-08</t>
  </si>
  <si>
    <t>AUG</t>
  </si>
  <si>
    <t>ออเงิน</t>
  </si>
  <si>
    <t>R04-08</t>
  </si>
  <si>
    <t>RK</t>
  </si>
  <si>
    <t>ร่มเกล้า</t>
  </si>
  <si>
    <t>R05-08</t>
  </si>
  <si>
    <t>KDT</t>
  </si>
  <si>
    <t>คลองด่าน</t>
  </si>
  <si>
    <t>R06-08</t>
  </si>
  <si>
    <t>TBN</t>
  </si>
  <si>
    <t>ท้ายบ้าน</t>
  </si>
  <si>
    <t>R07-08</t>
  </si>
  <si>
    <t>TBR</t>
  </si>
  <si>
    <t>ธนบุรีรมย์</t>
  </si>
  <si>
    <t>R08-08</t>
  </si>
  <si>
    <t>TWN</t>
  </si>
  <si>
    <t>ทวีวัฒนา</t>
  </si>
  <si>
    <t>R09-08</t>
  </si>
  <si>
    <t>RC</t>
  </si>
  <si>
    <t>รุ่งประชา</t>
  </si>
  <si>
    <t>R10-08</t>
  </si>
  <si>
    <t>SRK</t>
  </si>
  <si>
    <t>สุรศักดิ์</t>
  </si>
  <si>
    <t>R11-08</t>
  </si>
  <si>
    <t>BL</t>
  </si>
  <si>
    <t>บางโคล่</t>
  </si>
  <si>
    <t>R12-08</t>
  </si>
  <si>
    <t>RTB</t>
  </si>
  <si>
    <t>รัตนาธิเบศร์</t>
  </si>
  <si>
    <t>R13-08</t>
  </si>
  <si>
    <t>BET</t>
  </si>
  <si>
    <t>บางซื่อ</t>
  </si>
  <si>
    <t>R14-08</t>
  </si>
  <si>
    <t>PC</t>
  </si>
  <si>
    <t>ประชาชื่น</t>
  </si>
  <si>
    <t>R01-09</t>
  </si>
  <si>
    <t>KP</t>
  </si>
  <si>
    <t>กิ่งเพชร</t>
  </si>
  <si>
    <t>R02-09</t>
  </si>
  <si>
    <t>SV</t>
  </si>
  <si>
    <t>ศูนย์วิจัย</t>
  </si>
  <si>
    <t>R03-09</t>
  </si>
  <si>
    <t>SP</t>
  </si>
  <si>
    <t>สะพานใหม่</t>
  </si>
  <si>
    <t>R04-09</t>
  </si>
  <si>
    <t>TY</t>
  </si>
  <si>
    <t>ทับยาว</t>
  </si>
  <si>
    <t>R05-09</t>
  </si>
  <si>
    <t>RTR</t>
  </si>
  <si>
    <t>รัตนราช</t>
  </si>
  <si>
    <t>R06-09</t>
  </si>
  <si>
    <t>BI</t>
  </si>
  <si>
    <t>บางปิ้ง</t>
  </si>
  <si>
    <t>R07-09</t>
  </si>
  <si>
    <t>WKP</t>
  </si>
  <si>
    <t>วัดกำแพง</t>
  </si>
  <si>
    <t>R08-09</t>
  </si>
  <si>
    <t>BOT</t>
  </si>
  <si>
    <t>บางกอกน้อย</t>
  </si>
  <si>
    <t>R09-09</t>
  </si>
  <si>
    <t>BY</t>
  </si>
  <si>
    <t>บางยี่ขัน</t>
  </si>
  <si>
    <t>R10-09</t>
  </si>
  <si>
    <t>SU</t>
  </si>
  <si>
    <t>สุรวงศ์</t>
  </si>
  <si>
    <t>R13-09</t>
  </si>
  <si>
    <t>LPT</t>
  </si>
  <si>
    <t>ลาดพร้าว</t>
  </si>
  <si>
    <t>R14-09</t>
  </si>
  <si>
    <t>BZ</t>
  </si>
  <si>
    <t>บางซ่อน</t>
  </si>
  <si>
    <t>R01-10</t>
  </si>
  <si>
    <t>RPR</t>
  </si>
  <si>
    <t>ราชปรารภ</t>
  </si>
  <si>
    <t>R02-10</t>
  </si>
  <si>
    <t>PPL</t>
  </si>
  <si>
    <t>พลับพลา</t>
  </si>
  <si>
    <t>R03-10</t>
  </si>
  <si>
    <t>DM</t>
  </si>
  <si>
    <t>ดอนเมือง</t>
  </si>
  <si>
    <t>R04-10</t>
  </si>
  <si>
    <t>CG</t>
  </si>
  <si>
    <t>ฉลองกรุง</t>
  </si>
  <si>
    <t>R05-10</t>
  </si>
  <si>
    <t>SRH</t>
  </si>
  <si>
    <t>เสาระหง</t>
  </si>
  <si>
    <t>R06-10</t>
  </si>
  <si>
    <t>BU</t>
  </si>
  <si>
    <t>บางปู</t>
  </si>
  <si>
    <t>R07-10</t>
  </si>
  <si>
    <t>BM</t>
  </si>
  <si>
    <t>บางมด</t>
  </si>
  <si>
    <t>R08-10</t>
  </si>
  <si>
    <t>BKE</t>
  </si>
  <si>
    <t>บางแค</t>
  </si>
  <si>
    <t>R09-10</t>
  </si>
  <si>
    <t>CPI</t>
  </si>
  <si>
    <t>ฉิมพลี</t>
  </si>
  <si>
    <t>R10-10</t>
  </si>
  <si>
    <t>SL</t>
  </si>
  <si>
    <t>สีลม</t>
  </si>
  <si>
    <t>R13-10</t>
  </si>
  <si>
    <t>KE</t>
  </si>
  <si>
    <t>เกษตร</t>
  </si>
  <si>
    <t>R14-10</t>
  </si>
  <si>
    <t>SYI</t>
  </si>
  <si>
    <t>สวนใหญ่</t>
  </si>
  <si>
    <t>R01-11</t>
  </si>
  <si>
    <t>NN</t>
  </si>
  <si>
    <t>นานา</t>
  </si>
  <si>
    <t>R03-11</t>
  </si>
  <si>
    <t>LK</t>
  </si>
  <si>
    <t>ลาดปลาเค้า</t>
  </si>
  <si>
    <t>R05-11</t>
  </si>
  <si>
    <t>LPG</t>
  </si>
  <si>
    <t>หลวงแพ่ง</t>
  </si>
  <si>
    <t>R06-11</t>
  </si>
  <si>
    <t>KO</t>
  </si>
  <si>
    <t>คอต่อ</t>
  </si>
  <si>
    <t>R07-11</t>
  </si>
  <si>
    <t>RN</t>
  </si>
  <si>
    <t>ราษฎร์บูรณะ</t>
  </si>
  <si>
    <t>R08-11</t>
  </si>
  <si>
    <t>KWS</t>
  </si>
  <si>
    <t>คลองวัดสิงห์</t>
  </si>
  <si>
    <t>R09-11</t>
  </si>
  <si>
    <t>PO</t>
  </si>
  <si>
    <t>พรานนก</t>
  </si>
  <si>
    <t>R13-11</t>
  </si>
  <si>
    <t>CK</t>
  </si>
  <si>
    <t>จันทร์เกษม</t>
  </si>
  <si>
    <t>R14-11</t>
  </si>
  <si>
    <t>SB</t>
  </si>
  <si>
    <t>สนามบินน้ำ</t>
  </si>
  <si>
    <t>R05-12</t>
  </si>
  <si>
    <t>BJ</t>
  </si>
  <si>
    <t>บางน้ำจืด</t>
  </si>
  <si>
    <t>R06-12</t>
  </si>
  <si>
    <t>PR</t>
  </si>
  <si>
    <t>แพรกษา</t>
  </si>
  <si>
    <t>R08-12</t>
  </si>
  <si>
    <t>BB</t>
  </si>
  <si>
    <t>บางบอน</t>
  </si>
  <si>
    <t>R09-12</t>
  </si>
  <si>
    <t>PS</t>
  </si>
  <si>
    <t>เพชรเกษม</t>
  </si>
  <si>
    <t>R13-12</t>
  </si>
  <si>
    <t>SSA</t>
  </si>
  <si>
    <t>ทรงสะอาด</t>
  </si>
  <si>
    <t>R14-12</t>
  </si>
  <si>
    <t>NR</t>
  </si>
  <si>
    <t>นนทบุรี</t>
  </si>
  <si>
    <t>R05-13</t>
  </si>
  <si>
    <t>BN</t>
  </si>
  <si>
    <t>บางโฉลง</t>
  </si>
  <si>
    <t>R06-13</t>
  </si>
  <si>
    <t>PTS</t>
  </si>
  <si>
    <t>พุทธรักษา</t>
  </si>
  <si>
    <t>R09-13</t>
  </si>
  <si>
    <t>BPI</t>
  </si>
  <si>
    <t>บางไผ่</t>
  </si>
  <si>
    <t>R13-13</t>
  </si>
  <si>
    <t>MC</t>
  </si>
  <si>
    <t>หมอชิต</t>
  </si>
  <si>
    <t>R14-13</t>
  </si>
  <si>
    <t>CPR</t>
  </si>
  <si>
    <t>ชลประทาน</t>
  </si>
  <si>
    <t>R05-14</t>
  </si>
  <si>
    <t>KI</t>
  </si>
  <si>
    <t>กิ่งแก้ว</t>
  </si>
  <si>
    <t>R06-14</t>
  </si>
  <si>
    <t>BMU</t>
  </si>
  <si>
    <t>บางเมือง</t>
  </si>
  <si>
    <t>R09-14</t>
  </si>
  <si>
    <t>MN</t>
  </si>
  <si>
    <t>มไหสวรรค์</t>
  </si>
  <si>
    <t>R14-14</t>
  </si>
  <si>
    <t>PE</t>
  </si>
  <si>
    <t>ปากเกร็ด</t>
  </si>
  <si>
    <t>R05-15</t>
  </si>
  <si>
    <t>SG</t>
  </si>
  <si>
    <t>สวนหลวง</t>
  </si>
  <si>
    <t>R06-15</t>
  </si>
  <si>
    <t>BRG</t>
  </si>
  <si>
    <t>แบริ่ง</t>
  </si>
  <si>
    <t>R09-15</t>
  </si>
  <si>
    <t>LYA</t>
  </si>
  <si>
    <t>ลาดหญ้า</t>
  </si>
  <si>
    <t>R14-15</t>
  </si>
  <si>
    <t>LSI</t>
  </si>
  <si>
    <t>หลักสี่</t>
  </si>
  <si>
    <t>R05-16</t>
  </si>
  <si>
    <t>SE</t>
  </si>
  <si>
    <t>ศรีเอี่ยม</t>
  </si>
  <si>
    <t>R06-16</t>
  </si>
  <si>
    <t>BG</t>
  </si>
  <si>
    <t>บางนา</t>
  </si>
  <si>
    <t>R09-16</t>
  </si>
  <si>
    <t>TB</t>
  </si>
  <si>
    <t>ธนบุรี</t>
  </si>
  <si>
    <t>R05-17</t>
  </si>
  <si>
    <t>BPT</t>
  </si>
  <si>
    <t>บางพลี</t>
  </si>
  <si>
    <t>R00 — แผนทดสอบแยก (20 Sites)</t>
  </si>
  <si>
    <t>ลำดับ Test</t>
  </si>
  <si>
    <t>R00-01</t>
  </si>
  <si>
    <t>CLC</t>
  </si>
  <si>
    <t>ศูนย์ชิดลม</t>
  </si>
  <si>
    <t>R00-02</t>
  </si>
  <si>
    <t>YND</t>
  </si>
  <si>
    <t>เขตยานนาวา</t>
  </si>
  <si>
    <t>R00-03</t>
  </si>
  <si>
    <t>BTD</t>
  </si>
  <si>
    <t>เขตบางขุนเทียน</t>
  </si>
  <si>
    <t>R00-04</t>
  </si>
  <si>
    <t>RBD</t>
  </si>
  <si>
    <t>เขตราษฎร์บูรณะ</t>
  </si>
  <si>
    <t>R00-05</t>
  </si>
  <si>
    <t>BHD</t>
  </si>
  <si>
    <t>เขตบางเขน</t>
  </si>
  <si>
    <t>R00-06</t>
  </si>
  <si>
    <t>LKD</t>
  </si>
  <si>
    <t>เขตลาดกระบัง</t>
  </si>
  <si>
    <t>R00-07</t>
  </si>
  <si>
    <t>NBD</t>
  </si>
  <si>
    <t>เขตนนทบุรี</t>
  </si>
  <si>
    <t>R00-08</t>
  </si>
  <si>
    <t>BBD</t>
  </si>
  <si>
    <t>เขตบางบัวทอง</t>
  </si>
  <si>
    <t>R00-09</t>
  </si>
  <si>
    <t>TBD</t>
  </si>
  <si>
    <t>เขตธนบุรี</t>
  </si>
  <si>
    <t>R00-10</t>
  </si>
  <si>
    <t>BKD</t>
  </si>
  <si>
    <t>เขตบางกะปิ</t>
  </si>
  <si>
    <t>R00-11</t>
  </si>
  <si>
    <t>KTD</t>
  </si>
  <si>
    <t>เขตคลองเตย</t>
  </si>
  <si>
    <t>R00-12</t>
  </si>
  <si>
    <t>SPD</t>
  </si>
  <si>
    <t>เขตสมุทรปราการ</t>
  </si>
  <si>
    <t>R00-13</t>
  </si>
  <si>
    <t>SSD</t>
  </si>
  <si>
    <t>เขตสามเสน</t>
  </si>
  <si>
    <t>R00-14</t>
  </si>
  <si>
    <t>BPD</t>
  </si>
  <si>
    <t>เขตบางพลี</t>
  </si>
  <si>
    <t>R00-15</t>
  </si>
  <si>
    <t>BYD</t>
  </si>
  <si>
    <t>เขตบางใหญ่</t>
  </si>
  <si>
    <t>R00-16</t>
  </si>
  <si>
    <t>MBD</t>
  </si>
  <si>
    <t>เขตมีนบุรี</t>
  </si>
  <si>
    <t>R00-17</t>
  </si>
  <si>
    <t>WLD</t>
  </si>
  <si>
    <t>เขตวัดเลียบ</t>
  </si>
  <si>
    <t>R00-18</t>
  </si>
  <si>
    <t>JWC</t>
  </si>
  <si>
    <t>ศูนย์แจ้งวัฒนะ</t>
  </si>
  <si>
    <t>R00-19</t>
  </si>
  <si>
    <t>NCD</t>
  </si>
  <si>
    <t>เขตนวลจันทร์</t>
  </si>
  <si>
    <t>R00-20</t>
  </si>
  <si>
    <t>BND</t>
  </si>
  <si>
    <t>เขตบางนา</t>
  </si>
  <si>
    <t>ตั้งค่า Automatic Battery Test</t>
  </si>
  <si>
    <t>12x/Year Configuration</t>
  </si>
  <si>
    <t>Number of Planned Tests per Year</t>
  </si>
  <si>
    <t>รายการ</t>
  </si>
  <si>
    <t>R01-R14 Test Day</t>
  </si>
  <si>
    <t>01 ของทุกเดือน</t>
  </si>
  <si>
    <t>เวลาเริ่ม Test R01-R14</t>
  </si>
  <si>
    <t>R00 Test Day</t>
  </si>
  <si>
    <t>02 ของทุกเดือน</t>
  </si>
  <si>
    <t>ระยะเวลา Test (นาที)</t>
  </si>
  <si>
    <t>Test Duration</t>
  </si>
  <si>
    <t>30 นาที</t>
  </si>
  <si>
    <t>Gap ระหว่างรอบ (นาที)</t>
  </si>
  <si>
    <t>R01-R14 Concurrency</t>
  </si>
  <si>
    <t>พร้อมกันได้ทุก Ring</t>
  </si>
  <si>
    <t>เวลาเริ่ม Test R00</t>
  </si>
  <si>
    <t>Same Ring Rule</t>
  </si>
  <si>
    <t>ครั้งละ 1 Site</t>
  </si>
  <si>
    <t>จำนวน Ring ที่ Test พร้อมกัน</t>
  </si>
  <si>
    <t>Planned Test Format</t>
  </si>
  <si>
    <t>MM-DD Hr</t>
  </si>
  <si>
    <t>เงื่อนไขก่อนเริ่ม Test</t>
  </si>
  <si>
    <t>Battery อยู่ใน Float Charge ปกติ</t>
  </si>
  <si>
    <t>ไม่มี AC Fail / Rectifier Fail / Battery Critical Alarm</t>
  </si>
  <si>
    <t>SDH NE / Network Monitoring Online</t>
  </si>
  <si>
    <t>แต่ละ Ring มี Battery Test ได้ครั้งละ 1 Site เท่านั้น</t>
  </si>
  <si>
    <t>หาก Site ใดผิดปกติ ให้หยุด Queue ของ Ring นั้น โดย Ring อื่นทำต่อได้</t>
  </si>
  <si>
    <t>6</t>
  </si>
  <si>
    <t>ครบ 30 นาทีจึงเริ่ม Site ลำดับถัดไปของ Ring เดิม</t>
  </si>
  <si>
    <t>SDH Automatic Battery Test Configuration — 12 ครั้ง/ปี</t>
  </si>
  <si>
    <t>R01-R14: วันที่ 01 ของทุกเดือน, Ring ละ 1 Site ต่อช่วงเวลา | R00: แยกวันที่ 02 ของทุกเดือน | Test Duration 30 นาที</t>
  </si>
  <si>
    <t>กลุ่ม</t>
  </si>
  <si>
    <t>Test/Year</t>
  </si>
  <si>
    <t>วันทดสอบ</t>
  </si>
  <si>
    <t>Planned Test 1</t>
  </si>
  <si>
    <t>Planned Test 2</t>
  </si>
  <si>
    <t>Planned Test 3</t>
  </si>
  <si>
    <t>Planned Test 4</t>
  </si>
  <si>
    <t>Planned Test 5</t>
  </si>
  <si>
    <t>Planned Test 6</t>
  </si>
  <si>
    <t>Planned Test 7</t>
  </si>
  <si>
    <t>Planned Test 8</t>
  </si>
  <si>
    <t>Planned Test 9</t>
  </si>
  <si>
    <t>Planned Test 10</t>
  </si>
  <si>
    <t>Planned Test 11</t>
  </si>
  <si>
    <t>Planned Test 12</t>
  </si>
  <si>
    <t>SDH Ring</t>
  </si>
  <si>
    <t>01-01 00</t>
  </si>
  <si>
    <t>02-01 00</t>
  </si>
  <si>
    <t>03-01 00</t>
  </si>
  <si>
    <t>04-01 00</t>
  </si>
  <si>
    <t>05-01 00</t>
  </si>
  <si>
    <t>06-01 00</t>
  </si>
  <si>
    <t>07-01 00</t>
  </si>
  <si>
    <t>08-01 00</t>
  </si>
  <si>
    <t>09-01 00</t>
  </si>
  <si>
    <t>10-01 00</t>
  </si>
  <si>
    <t>11-01 00</t>
  </si>
  <si>
    <t>12-01 00</t>
  </si>
  <si>
    <t>Ring ละ 1 Site/เวลา; Test 30 นาที</t>
  </si>
  <si>
    <t>01-01 01</t>
  </si>
  <si>
    <t>02-01 01</t>
  </si>
  <si>
    <t>03-01 01</t>
  </si>
  <si>
    <t>04-01 01</t>
  </si>
  <si>
    <t>05-01 01</t>
  </si>
  <si>
    <t>06-01 01</t>
  </si>
  <si>
    <t>07-01 01</t>
  </si>
  <si>
    <t>08-01 01</t>
  </si>
  <si>
    <t>09-01 01</t>
  </si>
  <si>
    <t>10-01 01</t>
  </si>
  <si>
    <t>11-01 01</t>
  </si>
  <si>
    <t>12-01 01</t>
  </si>
  <si>
    <t>01-01 02</t>
  </si>
  <si>
    <t>02-01 02</t>
  </si>
  <si>
    <t>03-01 02</t>
  </si>
  <si>
    <t>04-01 02</t>
  </si>
  <si>
    <t>05-01 02</t>
  </si>
  <si>
    <t>06-01 02</t>
  </si>
  <si>
    <t>07-01 02</t>
  </si>
  <si>
    <t>08-01 02</t>
  </si>
  <si>
    <t>09-01 02</t>
  </si>
  <si>
    <t>10-01 02</t>
  </si>
  <si>
    <t>11-01 02</t>
  </si>
  <si>
    <t>12-01 02</t>
  </si>
  <si>
    <t>01-01 03</t>
  </si>
  <si>
    <t>02-01 03</t>
  </si>
  <si>
    <t>03-01 03</t>
  </si>
  <si>
    <t>04-01 03</t>
  </si>
  <si>
    <t>05-01 03</t>
  </si>
  <si>
    <t>06-01 03</t>
  </si>
  <si>
    <t>07-01 03</t>
  </si>
  <si>
    <t>08-01 03</t>
  </si>
  <si>
    <t>09-01 03</t>
  </si>
  <si>
    <t>10-01 03</t>
  </si>
  <si>
    <t>11-01 03</t>
  </si>
  <si>
    <t>12-01 03</t>
  </si>
  <si>
    <t>01-01 04</t>
  </si>
  <si>
    <t>02-01 04</t>
  </si>
  <si>
    <t>03-01 04</t>
  </si>
  <si>
    <t>04-01 04</t>
  </si>
  <si>
    <t>05-01 04</t>
  </si>
  <si>
    <t>06-01 04</t>
  </si>
  <si>
    <t>07-01 04</t>
  </si>
  <si>
    <t>08-01 04</t>
  </si>
  <si>
    <t>09-01 04</t>
  </si>
  <si>
    <t>10-01 04</t>
  </si>
  <si>
    <t>11-01 04</t>
  </si>
  <si>
    <t>12-01 04</t>
  </si>
  <si>
    <t>01-01 05</t>
  </si>
  <si>
    <t>02-01 05</t>
  </si>
  <si>
    <t>03-01 05</t>
  </si>
  <si>
    <t>04-01 05</t>
  </si>
  <si>
    <t>05-01 05</t>
  </si>
  <si>
    <t>06-01 05</t>
  </si>
  <si>
    <t>07-01 05</t>
  </si>
  <si>
    <t>08-01 05</t>
  </si>
  <si>
    <t>09-01 05</t>
  </si>
  <si>
    <t>10-01 05</t>
  </si>
  <si>
    <t>11-01 05</t>
  </si>
  <si>
    <t>12-01 05</t>
  </si>
  <si>
    <t>01-01 06</t>
  </si>
  <si>
    <t>02-01 06</t>
  </si>
  <si>
    <t>03-01 06</t>
  </si>
  <si>
    <t>04-01 06</t>
  </si>
  <si>
    <t>05-01 06</t>
  </si>
  <si>
    <t>06-01 06</t>
  </si>
  <si>
    <t>07-01 06</t>
  </si>
  <si>
    <t>08-01 06</t>
  </si>
  <si>
    <t>09-01 06</t>
  </si>
  <si>
    <t>10-01 06</t>
  </si>
  <si>
    <t>11-01 06</t>
  </si>
  <si>
    <t>12-01 06</t>
  </si>
  <si>
    <t>01-01 07</t>
  </si>
  <si>
    <t>02-01 07</t>
  </si>
  <si>
    <t>03-01 07</t>
  </si>
  <si>
    <t>04-01 07</t>
  </si>
  <si>
    <t>05-01 07</t>
  </si>
  <si>
    <t>06-01 07</t>
  </si>
  <si>
    <t>07-01 07</t>
  </si>
  <si>
    <t>08-01 07</t>
  </si>
  <si>
    <t>09-01 07</t>
  </si>
  <si>
    <t>10-01 07</t>
  </si>
  <si>
    <t>11-01 07</t>
  </si>
  <si>
    <t>12-01 07</t>
  </si>
  <si>
    <t>01-01 08</t>
  </si>
  <si>
    <t>02-01 08</t>
  </si>
  <si>
    <t>03-01 08</t>
  </si>
  <si>
    <t>04-01 08</t>
  </si>
  <si>
    <t>05-01 08</t>
  </si>
  <si>
    <t>06-01 08</t>
  </si>
  <si>
    <t>07-01 08</t>
  </si>
  <si>
    <t>08-01 08</t>
  </si>
  <si>
    <t>09-01 08</t>
  </si>
  <si>
    <t>10-01 08</t>
  </si>
  <si>
    <t>11-01 08</t>
  </si>
  <si>
    <t>12-01 08</t>
  </si>
  <si>
    <t>01-01 09</t>
  </si>
  <si>
    <t>02-01 09</t>
  </si>
  <si>
    <t>03-01 09</t>
  </si>
  <si>
    <t>04-01 09</t>
  </si>
  <si>
    <t>05-01 09</t>
  </si>
  <si>
    <t>06-01 09</t>
  </si>
  <si>
    <t>07-01 09</t>
  </si>
  <si>
    <t>08-01 09</t>
  </si>
  <si>
    <t>09-01 09</t>
  </si>
  <si>
    <t>10-01 09</t>
  </si>
  <si>
    <t>11-01 09</t>
  </si>
  <si>
    <t>12-01 09</t>
  </si>
  <si>
    <t>01-01 10</t>
  </si>
  <si>
    <t>02-01 10</t>
  </si>
  <si>
    <t>03-01 10</t>
  </si>
  <si>
    <t>04-01 10</t>
  </si>
  <si>
    <t>05-01 10</t>
  </si>
  <si>
    <t>06-01 10</t>
  </si>
  <si>
    <t>07-01 10</t>
  </si>
  <si>
    <t>08-01 10</t>
  </si>
  <si>
    <t>09-01 10</t>
  </si>
  <si>
    <t>10-01 10</t>
  </si>
  <si>
    <t>11-01 10</t>
  </si>
  <si>
    <t>12-01 10</t>
  </si>
  <si>
    <t>01-01 11</t>
  </si>
  <si>
    <t>02-01 11</t>
  </si>
  <si>
    <t>03-01 11</t>
  </si>
  <si>
    <t>04-01 11</t>
  </si>
  <si>
    <t>05-01 11</t>
  </si>
  <si>
    <t>06-01 11</t>
  </si>
  <si>
    <t>07-01 11</t>
  </si>
  <si>
    <t>08-01 11</t>
  </si>
  <si>
    <t>09-01 11</t>
  </si>
  <si>
    <t>10-01 11</t>
  </si>
  <si>
    <t>11-01 11</t>
  </si>
  <si>
    <t>12-01 11</t>
  </si>
  <si>
    <t>01-01 12</t>
  </si>
  <si>
    <t>02-01 12</t>
  </si>
  <si>
    <t>03-01 12</t>
  </si>
  <si>
    <t>04-01 12</t>
  </si>
  <si>
    <t>05-01 12</t>
  </si>
  <si>
    <t>06-01 12</t>
  </si>
  <si>
    <t>07-01 12</t>
  </si>
  <si>
    <t>08-01 12</t>
  </si>
  <si>
    <t>09-01 12</t>
  </si>
  <si>
    <t>10-01 12</t>
  </si>
  <si>
    <t>11-01 12</t>
  </si>
  <si>
    <t>12-01 12</t>
  </si>
  <si>
    <t>01-01 13</t>
  </si>
  <si>
    <t>02-01 13</t>
  </si>
  <si>
    <t>03-01 13</t>
  </si>
  <si>
    <t>04-01 13</t>
  </si>
  <si>
    <t>05-01 13</t>
  </si>
  <si>
    <t>06-01 13</t>
  </si>
  <si>
    <t>07-01 13</t>
  </si>
  <si>
    <t>08-01 13</t>
  </si>
  <si>
    <t>09-01 13</t>
  </si>
  <si>
    <t>10-01 13</t>
  </si>
  <si>
    <t>11-01 13</t>
  </si>
  <si>
    <t>12-01 13</t>
  </si>
  <si>
    <t>01-01 14</t>
  </si>
  <si>
    <t>02-01 14</t>
  </si>
  <si>
    <t>03-01 14</t>
  </si>
  <si>
    <t>04-01 14</t>
  </si>
  <si>
    <t>05-01 14</t>
  </si>
  <si>
    <t>06-01 14</t>
  </si>
  <si>
    <t>07-01 14</t>
  </si>
  <si>
    <t>08-01 14</t>
  </si>
  <si>
    <t>09-01 14</t>
  </si>
  <si>
    <t>10-01 14</t>
  </si>
  <si>
    <t>11-01 14</t>
  </si>
  <si>
    <t>12-01 14</t>
  </si>
  <si>
    <t>01-01 15</t>
  </si>
  <si>
    <t>02-01 15</t>
  </si>
  <si>
    <t>03-01 15</t>
  </si>
  <si>
    <t>04-01 15</t>
  </si>
  <si>
    <t>05-01 15</t>
  </si>
  <si>
    <t>06-01 15</t>
  </si>
  <si>
    <t>07-01 15</t>
  </si>
  <si>
    <t>08-01 15</t>
  </si>
  <si>
    <t>09-01 15</t>
  </si>
  <si>
    <t>10-01 15</t>
  </si>
  <si>
    <t>11-01 15</t>
  </si>
  <si>
    <t>12-01 15</t>
  </si>
  <si>
    <t>01-01 16</t>
  </si>
  <si>
    <t>02-01 16</t>
  </si>
  <si>
    <t>03-01 16</t>
  </si>
  <si>
    <t>04-01 16</t>
  </si>
  <si>
    <t>05-01 16</t>
  </si>
  <si>
    <t>06-01 16</t>
  </si>
  <si>
    <t>07-01 16</t>
  </si>
  <si>
    <t>08-01 16</t>
  </si>
  <si>
    <t>09-01 16</t>
  </si>
  <si>
    <t>10-01 16</t>
  </si>
  <si>
    <t>11-01 16</t>
  </si>
  <si>
    <t>12-01 16</t>
  </si>
  <si>
    <t>R00 แยก</t>
  </si>
  <si>
    <t>01-02 00</t>
  </si>
  <si>
    <t>02-02 00</t>
  </si>
  <si>
    <t>03-02 00</t>
  </si>
  <si>
    <t>04-02 00</t>
  </si>
  <si>
    <t>05-02 00</t>
  </si>
  <si>
    <t>06-02 00</t>
  </si>
  <si>
    <t>07-02 00</t>
  </si>
  <si>
    <t>08-02 00</t>
  </si>
  <si>
    <t>09-02 00</t>
  </si>
  <si>
    <t>10-02 00</t>
  </si>
  <si>
    <t>11-02 00</t>
  </si>
  <si>
    <t>12-02 00</t>
  </si>
  <si>
    <t>R00 แยกวันที่ 02; Test 30 นาที</t>
  </si>
  <si>
    <t>01-02 01</t>
  </si>
  <si>
    <t>02-02 01</t>
  </si>
  <si>
    <t>03-02 01</t>
  </si>
  <si>
    <t>04-02 01</t>
  </si>
  <si>
    <t>05-02 01</t>
  </si>
  <si>
    <t>06-02 01</t>
  </si>
  <si>
    <t>07-02 01</t>
  </si>
  <si>
    <t>08-02 01</t>
  </si>
  <si>
    <t>09-02 01</t>
  </si>
  <si>
    <t>10-02 01</t>
  </si>
  <si>
    <t>11-02 01</t>
  </si>
  <si>
    <t>12-02 01</t>
  </si>
  <si>
    <t>01-02 02</t>
  </si>
  <si>
    <t>02-02 02</t>
  </si>
  <si>
    <t>03-02 02</t>
  </si>
  <si>
    <t>04-02 02</t>
  </si>
  <si>
    <t>05-02 02</t>
  </si>
  <si>
    <t>06-02 02</t>
  </si>
  <si>
    <t>07-02 02</t>
  </si>
  <si>
    <t>08-02 02</t>
  </si>
  <si>
    <t>09-02 02</t>
  </si>
  <si>
    <t>10-02 02</t>
  </si>
  <si>
    <t>11-02 02</t>
  </si>
  <si>
    <t>12-02 02</t>
  </si>
  <si>
    <t>01-02 03</t>
  </si>
  <si>
    <t>02-02 03</t>
  </si>
  <si>
    <t>03-02 03</t>
  </si>
  <si>
    <t>04-02 03</t>
  </si>
  <si>
    <t>05-02 03</t>
  </si>
  <si>
    <t>06-02 03</t>
  </si>
  <si>
    <t>07-02 03</t>
  </si>
  <si>
    <t>08-02 03</t>
  </si>
  <si>
    <t>09-02 03</t>
  </si>
  <si>
    <t>10-02 03</t>
  </si>
  <si>
    <t>11-02 03</t>
  </si>
  <si>
    <t>12-02 03</t>
  </si>
  <si>
    <t>01-02 04</t>
  </si>
  <si>
    <t>02-02 04</t>
  </si>
  <si>
    <t>03-02 04</t>
  </si>
  <si>
    <t>04-02 04</t>
  </si>
  <si>
    <t>05-02 04</t>
  </si>
  <si>
    <t>06-02 04</t>
  </si>
  <si>
    <t>07-02 04</t>
  </si>
  <si>
    <t>08-02 04</t>
  </si>
  <si>
    <t>09-02 04</t>
  </si>
  <si>
    <t>10-02 04</t>
  </si>
  <si>
    <t>11-02 04</t>
  </si>
  <si>
    <t>12-02 04</t>
  </si>
  <si>
    <t>01-02 05</t>
  </si>
  <si>
    <t>02-02 05</t>
  </si>
  <si>
    <t>03-02 05</t>
  </si>
  <si>
    <t>04-02 05</t>
  </si>
  <si>
    <t>05-02 05</t>
  </si>
  <si>
    <t>06-02 05</t>
  </si>
  <si>
    <t>07-02 05</t>
  </si>
  <si>
    <t>08-02 05</t>
  </si>
  <si>
    <t>09-02 05</t>
  </si>
  <si>
    <t>10-02 05</t>
  </si>
  <si>
    <t>11-02 05</t>
  </si>
  <si>
    <t>12-02 05</t>
  </si>
  <si>
    <t>01-02 06</t>
  </si>
  <si>
    <t>02-02 06</t>
  </si>
  <si>
    <t>03-02 06</t>
  </si>
  <si>
    <t>04-02 06</t>
  </si>
  <si>
    <t>05-02 06</t>
  </si>
  <si>
    <t>06-02 06</t>
  </si>
  <si>
    <t>07-02 06</t>
  </si>
  <si>
    <t>08-02 06</t>
  </si>
  <si>
    <t>09-02 06</t>
  </si>
  <si>
    <t>10-02 06</t>
  </si>
  <si>
    <t>11-02 06</t>
  </si>
  <si>
    <t>12-02 06</t>
  </si>
  <si>
    <t>01-02 07</t>
  </si>
  <si>
    <t>02-02 07</t>
  </si>
  <si>
    <t>03-02 07</t>
  </si>
  <si>
    <t>04-02 07</t>
  </si>
  <si>
    <t>05-02 07</t>
  </si>
  <si>
    <t>06-02 07</t>
  </si>
  <si>
    <t>07-02 07</t>
  </si>
  <si>
    <t>08-02 07</t>
  </si>
  <si>
    <t>09-02 07</t>
  </si>
  <si>
    <t>10-02 07</t>
  </si>
  <si>
    <t>11-02 07</t>
  </si>
  <si>
    <t>12-02 07</t>
  </si>
  <si>
    <t>01-02 08</t>
  </si>
  <si>
    <t>02-02 08</t>
  </si>
  <si>
    <t>03-02 08</t>
  </si>
  <si>
    <t>04-02 08</t>
  </si>
  <si>
    <t>05-02 08</t>
  </si>
  <si>
    <t>06-02 08</t>
  </si>
  <si>
    <t>07-02 08</t>
  </si>
  <si>
    <t>08-02 08</t>
  </si>
  <si>
    <t>09-02 08</t>
  </si>
  <si>
    <t>10-02 08</t>
  </si>
  <si>
    <t>11-02 08</t>
  </si>
  <si>
    <t>12-02 08</t>
  </si>
  <si>
    <t>01-02 09</t>
  </si>
  <si>
    <t>02-02 09</t>
  </si>
  <si>
    <t>03-02 09</t>
  </si>
  <si>
    <t>04-02 09</t>
  </si>
  <si>
    <t>05-02 09</t>
  </si>
  <si>
    <t>06-02 09</t>
  </si>
  <si>
    <t>07-02 09</t>
  </si>
  <si>
    <t>08-02 09</t>
  </si>
  <si>
    <t>09-02 09</t>
  </si>
  <si>
    <t>10-02 09</t>
  </si>
  <si>
    <t>11-02 09</t>
  </si>
  <si>
    <t>12-02 09</t>
  </si>
  <si>
    <t>01-02 10</t>
  </si>
  <si>
    <t>02-02 10</t>
  </si>
  <si>
    <t>03-02 10</t>
  </si>
  <si>
    <t>04-02 10</t>
  </si>
  <si>
    <t>05-02 10</t>
  </si>
  <si>
    <t>06-02 10</t>
  </si>
  <si>
    <t>07-02 10</t>
  </si>
  <si>
    <t>08-02 10</t>
  </si>
  <si>
    <t>09-02 10</t>
  </si>
  <si>
    <t>10-02 10</t>
  </si>
  <si>
    <t>11-02 10</t>
  </si>
  <si>
    <t>12-02 10</t>
  </si>
  <si>
    <t>01-02 11</t>
  </si>
  <si>
    <t>02-02 11</t>
  </si>
  <si>
    <t>03-02 11</t>
  </si>
  <si>
    <t>04-02 11</t>
  </si>
  <si>
    <t>05-02 11</t>
  </si>
  <si>
    <t>06-02 11</t>
  </si>
  <si>
    <t>07-02 11</t>
  </si>
  <si>
    <t>08-02 11</t>
  </si>
  <si>
    <t>09-02 11</t>
  </si>
  <si>
    <t>10-02 11</t>
  </si>
  <si>
    <t>11-02 11</t>
  </si>
  <si>
    <t>12-02 11</t>
  </si>
  <si>
    <t>01-02 12</t>
  </si>
  <si>
    <t>02-02 12</t>
  </si>
  <si>
    <t>03-02 12</t>
  </si>
  <si>
    <t>04-02 12</t>
  </si>
  <si>
    <t>05-02 12</t>
  </si>
  <si>
    <t>06-02 12</t>
  </si>
  <si>
    <t>07-02 12</t>
  </si>
  <si>
    <t>08-02 12</t>
  </si>
  <si>
    <t>09-02 12</t>
  </si>
  <si>
    <t>10-02 12</t>
  </si>
  <si>
    <t>11-02 12</t>
  </si>
  <si>
    <t>12-02 12</t>
  </si>
  <si>
    <t>01-02 13</t>
  </si>
  <si>
    <t>02-02 13</t>
  </si>
  <si>
    <t>03-02 13</t>
  </si>
  <si>
    <t>04-02 13</t>
  </si>
  <si>
    <t>05-02 13</t>
  </si>
  <si>
    <t>06-02 13</t>
  </si>
  <si>
    <t>07-02 13</t>
  </si>
  <si>
    <t>08-02 13</t>
  </si>
  <si>
    <t>09-02 13</t>
  </si>
  <si>
    <t>10-02 13</t>
  </si>
  <si>
    <t>11-02 13</t>
  </si>
  <si>
    <t>12-02 13</t>
  </si>
  <si>
    <t>01-02 14</t>
  </si>
  <si>
    <t>02-02 14</t>
  </si>
  <si>
    <t>03-02 14</t>
  </si>
  <si>
    <t>04-02 14</t>
  </si>
  <si>
    <t>05-02 14</t>
  </si>
  <si>
    <t>06-02 14</t>
  </si>
  <si>
    <t>07-02 14</t>
  </si>
  <si>
    <t>08-02 14</t>
  </si>
  <si>
    <t>09-02 14</t>
  </si>
  <si>
    <t>10-02 14</t>
  </si>
  <si>
    <t>11-02 14</t>
  </si>
  <si>
    <t>12-02 14</t>
  </si>
  <si>
    <t>01-02 15</t>
  </si>
  <si>
    <t>02-02 15</t>
  </si>
  <si>
    <t>03-02 15</t>
  </si>
  <si>
    <t>04-02 15</t>
  </si>
  <si>
    <t>05-02 15</t>
  </si>
  <si>
    <t>06-02 15</t>
  </si>
  <si>
    <t>07-02 15</t>
  </si>
  <si>
    <t>08-02 15</t>
  </si>
  <si>
    <t>09-02 15</t>
  </si>
  <si>
    <t>10-02 15</t>
  </si>
  <si>
    <t>11-02 15</t>
  </si>
  <si>
    <t>12-02 15</t>
  </si>
  <si>
    <t>01-02 16</t>
  </si>
  <si>
    <t>02-02 16</t>
  </si>
  <si>
    <t>03-02 16</t>
  </si>
  <si>
    <t>04-02 16</t>
  </si>
  <si>
    <t>05-02 16</t>
  </si>
  <si>
    <t>06-02 16</t>
  </si>
  <si>
    <t>07-02 16</t>
  </si>
  <si>
    <t>08-02 16</t>
  </si>
  <si>
    <t>09-02 16</t>
  </si>
  <si>
    <t>10-02 16</t>
  </si>
  <si>
    <t>11-02 16</t>
  </si>
  <si>
    <t>12-02 16</t>
  </si>
  <si>
    <t>01-02 17</t>
  </si>
  <si>
    <t>02-02 17</t>
  </si>
  <si>
    <t>03-02 17</t>
  </si>
  <si>
    <t>04-02 17</t>
  </si>
  <si>
    <t>05-02 17</t>
  </si>
  <si>
    <t>06-02 17</t>
  </si>
  <si>
    <t>07-02 17</t>
  </si>
  <si>
    <t>08-02 17</t>
  </si>
  <si>
    <t>09-02 17</t>
  </si>
  <si>
    <t>10-02 17</t>
  </si>
  <si>
    <t>11-02 17</t>
  </si>
  <si>
    <t>12-02 17</t>
  </si>
  <si>
    <t>01-02 18</t>
  </si>
  <si>
    <t>02-02 18</t>
  </si>
  <si>
    <t>03-02 18</t>
  </si>
  <si>
    <t>04-02 18</t>
  </si>
  <si>
    <t>05-02 18</t>
  </si>
  <si>
    <t>06-02 18</t>
  </si>
  <si>
    <t>07-02 18</t>
  </si>
  <si>
    <t>08-02 18</t>
  </si>
  <si>
    <t>09-02 18</t>
  </si>
  <si>
    <t>10-02 18</t>
  </si>
  <si>
    <t>11-02 18</t>
  </si>
  <si>
    <t>12-02 18</t>
  </si>
  <si>
    <t>01-02 19</t>
  </si>
  <si>
    <t>02-02 19</t>
  </si>
  <si>
    <t>03-02 19</t>
  </si>
  <si>
    <t>04-02 19</t>
  </si>
  <si>
    <t>05-02 19</t>
  </si>
  <si>
    <t>06-02 19</t>
  </si>
  <si>
    <t>07-02 19</t>
  </si>
  <si>
    <t>08-02 19</t>
  </si>
  <si>
    <t>09-02 19</t>
  </si>
  <si>
    <t>10-02 19</t>
  </si>
  <si>
    <t>11-02 19</t>
  </si>
  <si>
    <t>12-02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</si>
</sst>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8"/>
      <color rgb="FFFFFFFF"/>
      <name val="TH Sarabun New"/>
    </font>
    <font>
      <b/>
      <sz val="12"/>
      <color rgb="FF1F1F1F"/>
      <name val="TH Sarabun New"/>
    </font>
    <font>
      <b/>
      <sz val="11"/>
      <color rgb="FFFFFFFF"/>
      <name val="TH Sarabun New"/>
    </font>
    <font>
      <sz val="11"/>
      <name val="TH Sarabun New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20" fontId="0" fillId="0" borderId="0" xfId="1" applyNumberFormat="1" applyFont="1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20" fontId="0" fillId="0" borderId="0" xfId="1" applyNumberFormat="1" applyFont="1" applyAlignment="1">
      <alignment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1" fillId="2" borderId="0" xfId="1" applyFont="1" applyFill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ปกติ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c:style val="2"/>
  <c:chart>
    <c:title>
      <c:tx>
        <c:rich>
          <a:bodyPr/>
          <a:lstStyle/>
          <a:p>
            <a:r>
              <a:rPr lang="th-TH"/>
              <a:t>จำนวน </a:t>
            </a:r>
            <a:r>
              <a:rPr lang="en-US"/>
              <a:t>Sites </a:t>
            </a:r>
            <a:r>
              <a:rPr lang="th-TH"/>
              <a:t>ต่อ </a:t>
            </a:r>
            <a:r>
              <a:rPr lang="en-US"/>
              <a:t>Ring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 Sites</c:v>
          </c:tx>
          <c:invertIfNegative val="1"/>
          <c:cat>
            <c:strRef>
              <c:f>Summary!$A$9:$A$23</c:f>
              <c:strCache>
                <c:ptCount val="1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R00</c:v>
                </c:pt>
              </c:strCache>
            </c:strRef>
          </c:cat>
          <c:val>
            <c:numRef>
              <c:f>Summary!$B$9:$B$23</c:f>
              <c:numCache>
                <c:formatCode>General</c:formatCode>
                <c:ptCount val="15"/>
                <c:pt idx="0">
                  <c:v>11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17</c:v>
                </c:pt>
                <c:pt idx="5">
                  <c:v>16</c:v>
                </c:pt>
                <c:pt idx="6">
                  <c:v>11</c:v>
                </c:pt>
                <c:pt idx="7">
                  <c:v>12</c:v>
                </c:pt>
                <c:pt idx="8">
                  <c:v>16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13</c:v>
                </c:pt>
                <c:pt idx="13">
                  <c:v>15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A-4185-B15D-8FFE44CA9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ingSummaryTable" displayName="RingSummaryTable" ref="A8:C23" totalsRowShown="0">
  <tableColumns count="3">
    <tableColumn id="1" xr3:uid="{00000000-0010-0000-0000-000001000000}" name="Ring"/>
    <tableColumn id="2" xr3:uid="{00000000-0010-0000-0000-000002000000}" name="จำนวน Sites"/>
    <tableColumn id="3" xr3:uid="{00000000-0010-0000-0000-000003000000}" name="เวลาที่ Ring ใช้ (ชม.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tailedPlanTable" displayName="DetailedPlanTable" ref="A3:N171" totalsRowShown="0">
  <tableColumns count="14">
    <tableColumn id="1" xr3:uid="{00000000-0010-0000-0100-000001000000}" name="รอบ"/>
    <tableColumn id="2" xr3:uid="{00000000-0010-0000-0100-000002000000}" name="Ring"/>
    <tableColumn id="3" xr3:uid="{00000000-0010-0000-0100-000003000000}" name="Seq"/>
    <tableColumn id="4" xr3:uid="{00000000-0010-0000-0100-000004000000}" name="Ring-Seq"/>
    <tableColumn id="5" xr3:uid="{00000000-0010-0000-0100-000005000000}" name="ชื่อย่อ"/>
    <tableColumn id="6" xr3:uid="{00000000-0010-0000-0100-000006000000}" name="สถานี"/>
    <tableColumn id="7" xr3:uid="{00000000-0010-0000-0100-000007000000}" name="Start"/>
    <tableColumn id="8" xr3:uid="{00000000-0010-0000-0100-000008000000}" name="End"/>
    <tableColumn id="9" xr3:uid="{00000000-0010-0000-0100-000009000000}" name="Status"/>
    <tableColumn id="10" xr3:uid="{00000000-0010-0000-0100-00000A000000}" name="Test Voltage (V)"/>
    <tableColumn id="11" xr3:uid="{00000000-0010-0000-0100-00000B000000}" name="End Voltage (V)"/>
    <tableColumn id="12" xr3:uid="{00000000-0010-0000-0100-00000C000000}" name="End Capacity (%)"/>
    <tableColumn id="13" xr3:uid="{00000000-0010-0000-0100-00000D000000}" name="Alarm"/>
    <tableColumn id="14" xr3:uid="{00000000-0010-0000-0100-00000E000000}" name="หมายเหต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00PlanTable" displayName="R00PlanTable" ref="A3:K23" totalsRowShown="0">
  <tableColumns count="11">
    <tableColumn id="1" xr3:uid="{00000000-0010-0000-0200-000001000000}" name="ลำดับ Test"/>
    <tableColumn id="2" xr3:uid="{00000000-0010-0000-0200-000002000000}" name="Ring-Seq"/>
    <tableColumn id="3" xr3:uid="{00000000-0010-0000-0200-000003000000}" name="ชื่อย่อ"/>
    <tableColumn id="4" xr3:uid="{00000000-0010-0000-0200-000004000000}" name="สถานี"/>
    <tableColumn id="5" xr3:uid="{00000000-0010-0000-0200-000005000000}" name="Start"/>
    <tableColumn id="6" xr3:uid="{00000000-0010-0000-0200-000006000000}" name="End"/>
    <tableColumn id="7" xr3:uid="{00000000-0010-0000-0200-000007000000}" name="Status"/>
    <tableColumn id="8" xr3:uid="{00000000-0010-0000-0200-000008000000}" name="End Voltage (V)"/>
    <tableColumn id="9" xr3:uid="{00000000-0010-0000-0200-000009000000}" name="End Capacity (%)"/>
    <tableColumn id="10" xr3:uid="{00000000-0010-0000-0200-00000A000000}" name="Alarm"/>
    <tableColumn id="11" xr3:uid="{00000000-0010-0000-0200-00000B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F9" sqref="F9"/>
    </sheetView>
  </sheetViews>
  <sheetFormatPr defaultRowHeight="13.8"/>
  <cols>
    <col min="1" max="1" width="22" customWidth="1"/>
    <col min="2" max="2" width="14" customWidth="1"/>
    <col min="3" max="3" width="16" customWidth="1"/>
    <col min="4" max="4" width="30" customWidth="1"/>
    <col min="5" max="5" width="8" customWidth="1"/>
    <col min="6" max="6" width="28" customWidth="1"/>
    <col min="7" max="7" width="14" customWidth="1"/>
    <col min="8" max="8" width="20" customWidth="1"/>
  </cols>
  <sheetData>
    <row r="1" spans="1:8" ht="22.35" customHeight="1">
      <c r="A1" s="26" t="s">
        <v>0</v>
      </c>
      <c r="B1" s="26"/>
      <c r="C1" s="26"/>
      <c r="D1" s="26"/>
      <c r="E1" s="26"/>
      <c r="F1" s="26"/>
      <c r="G1" s="26"/>
      <c r="H1" s="26"/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F3" s="2" t="s">
        <v>5</v>
      </c>
      <c r="G3" s="2" t="s">
        <v>2</v>
      </c>
      <c r="H3" s="2" t="s">
        <v>3</v>
      </c>
    </row>
    <row r="4" spans="1:8">
      <c r="A4" t="s">
        <v>6</v>
      </c>
      <c r="B4">
        <v>188</v>
      </c>
      <c r="C4" t="s">
        <v>7</v>
      </c>
      <c r="D4" t="s">
        <v>8</v>
      </c>
      <c r="F4" t="s">
        <v>9</v>
      </c>
      <c r="G4">
        <v>17</v>
      </c>
      <c r="H4" t="s">
        <v>10</v>
      </c>
    </row>
    <row r="5" spans="1:8">
      <c r="A5" t="s">
        <v>11</v>
      </c>
      <c r="B5">
        <v>14</v>
      </c>
      <c r="C5" t="s">
        <v>12</v>
      </c>
      <c r="D5" t="s">
        <v>13</v>
      </c>
      <c r="F5" t="s">
        <v>14</v>
      </c>
      <c r="G5">
        <v>30</v>
      </c>
      <c r="H5" t="s">
        <v>15</v>
      </c>
    </row>
    <row r="6" spans="1:8">
      <c r="A6" t="s">
        <v>16</v>
      </c>
      <c r="B6">
        <v>168</v>
      </c>
      <c r="C6" t="s">
        <v>7</v>
      </c>
      <c r="D6" t="s">
        <v>17</v>
      </c>
      <c r="F6" t="s">
        <v>18</v>
      </c>
      <c r="G6">
        <v>8.5</v>
      </c>
      <c r="H6" t="s">
        <v>19</v>
      </c>
    </row>
    <row r="8" spans="1:8" ht="27.6">
      <c r="A8" s="2" t="s">
        <v>12</v>
      </c>
      <c r="B8" s="2" t="s">
        <v>20</v>
      </c>
      <c r="C8" s="2" t="s">
        <v>21</v>
      </c>
      <c r="E8" s="2" t="s">
        <v>22</v>
      </c>
      <c r="F8" s="2"/>
      <c r="G8" s="2"/>
      <c r="H8" s="2"/>
    </row>
    <row r="9" spans="1:8">
      <c r="A9" t="s">
        <v>23</v>
      </c>
      <c r="B9">
        <v>11</v>
      </c>
      <c r="C9">
        <v>5.5</v>
      </c>
      <c r="E9" t="s">
        <v>24</v>
      </c>
      <c r="F9" t="s">
        <v>25</v>
      </c>
    </row>
    <row r="10" spans="1:8">
      <c r="A10" t="s">
        <v>26</v>
      </c>
      <c r="B10">
        <v>10</v>
      </c>
      <c r="C10">
        <v>5</v>
      </c>
      <c r="E10" t="s">
        <v>27</v>
      </c>
      <c r="F10" t="s">
        <v>28</v>
      </c>
    </row>
    <row r="11" spans="1:8">
      <c r="A11" t="s">
        <v>29</v>
      </c>
      <c r="B11">
        <v>11</v>
      </c>
      <c r="C11">
        <v>5.5</v>
      </c>
      <c r="E11" t="s">
        <v>30</v>
      </c>
      <c r="F11" t="s">
        <v>31</v>
      </c>
    </row>
    <row r="12" spans="1:8">
      <c r="A12" t="s">
        <v>32</v>
      </c>
      <c r="B12">
        <v>10</v>
      </c>
      <c r="C12">
        <v>5</v>
      </c>
      <c r="E12" t="s">
        <v>33</v>
      </c>
      <c r="F12" t="s">
        <v>34</v>
      </c>
    </row>
    <row r="13" spans="1:8">
      <c r="A13" t="s">
        <v>35</v>
      </c>
      <c r="B13">
        <v>17</v>
      </c>
      <c r="C13">
        <v>8.5</v>
      </c>
      <c r="E13" t="s">
        <v>36</v>
      </c>
      <c r="F13" t="s">
        <v>37</v>
      </c>
    </row>
    <row r="14" spans="1:8">
      <c r="A14" t="s">
        <v>38</v>
      </c>
      <c r="B14">
        <v>16</v>
      </c>
      <c r="C14">
        <v>8</v>
      </c>
    </row>
    <row r="15" spans="1:8">
      <c r="A15" t="s">
        <v>39</v>
      </c>
      <c r="B15">
        <v>11</v>
      </c>
      <c r="C15">
        <v>5.5</v>
      </c>
    </row>
    <row r="16" spans="1:8">
      <c r="A16" t="s">
        <v>40</v>
      </c>
      <c r="B16">
        <v>12</v>
      </c>
      <c r="C16">
        <v>6</v>
      </c>
    </row>
    <row r="17" spans="1:8">
      <c r="A17" t="s">
        <v>41</v>
      </c>
      <c r="B17">
        <v>16</v>
      </c>
      <c r="C17">
        <v>8</v>
      </c>
    </row>
    <row r="18" spans="1:8">
      <c r="A18" t="s">
        <v>42</v>
      </c>
      <c r="B18">
        <v>10</v>
      </c>
      <c r="C18">
        <v>5</v>
      </c>
    </row>
    <row r="19" spans="1:8">
      <c r="A19" t="s">
        <v>43</v>
      </c>
      <c r="B19">
        <v>8</v>
      </c>
      <c r="C19">
        <v>4</v>
      </c>
    </row>
    <row r="20" spans="1:8">
      <c r="A20" t="s">
        <v>44</v>
      </c>
      <c r="B20">
        <v>8</v>
      </c>
      <c r="C20">
        <v>4</v>
      </c>
    </row>
    <row r="21" spans="1:8">
      <c r="A21" t="s">
        <v>45</v>
      </c>
      <c r="B21">
        <v>13</v>
      </c>
      <c r="C21">
        <v>6.5</v>
      </c>
    </row>
    <row r="22" spans="1:8">
      <c r="A22" t="s">
        <v>46</v>
      </c>
      <c r="B22">
        <v>15</v>
      </c>
      <c r="C22">
        <v>7.5</v>
      </c>
    </row>
    <row r="23" spans="1:8">
      <c r="A23" t="s">
        <v>47</v>
      </c>
      <c r="B23">
        <v>20</v>
      </c>
      <c r="C23">
        <v>10</v>
      </c>
    </row>
    <row r="25" spans="1:8">
      <c r="A25" s="2" t="s">
        <v>4</v>
      </c>
      <c r="B25" s="2"/>
      <c r="C25" s="2"/>
      <c r="D25" s="2"/>
      <c r="E25" s="2"/>
      <c r="F25" s="2"/>
      <c r="G25" s="2"/>
      <c r="H25" s="2"/>
    </row>
    <row r="26" spans="1:8" ht="55.2">
      <c r="A26" s="3" t="s">
        <v>48</v>
      </c>
      <c r="B26" s="3"/>
      <c r="C26" s="3"/>
      <c r="D26" s="3"/>
      <c r="E26" s="3"/>
      <c r="F26" s="3"/>
      <c r="G26" s="3"/>
      <c r="H26" s="3"/>
    </row>
    <row r="27" spans="1:8" ht="41.4">
      <c r="A27" s="3" t="s">
        <v>49</v>
      </c>
      <c r="B27" s="3"/>
      <c r="C27" s="3"/>
      <c r="D27" s="3"/>
      <c r="E27" s="3"/>
      <c r="F27" s="3"/>
      <c r="G27" s="3"/>
      <c r="H27" s="3"/>
    </row>
    <row r="28" spans="1:8" ht="41.4">
      <c r="A28" s="3" t="s">
        <v>50</v>
      </c>
      <c r="B28" s="3"/>
      <c r="C28" s="3"/>
      <c r="D28" s="3"/>
      <c r="E28" s="3"/>
      <c r="F28" s="3"/>
      <c r="G28" s="3"/>
      <c r="H28" s="3"/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opLeftCell="A9" workbookViewId="0">
      <selection sqref="A1:Q1"/>
    </sheetView>
  </sheetViews>
  <sheetFormatPr defaultRowHeight="13.8"/>
  <cols>
    <col min="1" max="1" width="8" customWidth="1"/>
    <col min="2" max="3" width="10" customWidth="1"/>
    <col min="4" max="17" width="26" customWidth="1"/>
  </cols>
  <sheetData>
    <row r="1" spans="1:17" ht="22.35" customHeight="1">
      <c r="A1" s="26" t="s">
        <v>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3" spans="1:17">
      <c r="A3" s="2" t="s">
        <v>10</v>
      </c>
      <c r="B3" s="2" t="s">
        <v>52</v>
      </c>
      <c r="C3" s="2" t="s">
        <v>53</v>
      </c>
      <c r="D3" s="2" t="s">
        <v>23</v>
      </c>
      <c r="E3" s="2" t="s">
        <v>26</v>
      </c>
      <c r="F3" s="2" t="s">
        <v>29</v>
      </c>
      <c r="G3" s="2" t="s">
        <v>32</v>
      </c>
      <c r="H3" s="2" t="s">
        <v>35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</row>
    <row r="4" spans="1:17" ht="27.15" customHeight="1">
      <c r="A4" s="3">
        <v>1</v>
      </c>
      <c r="B4" s="4">
        <f>Settings!$B$4+((A4-1)*(Settings!$B$5+Settings!$B$6)/1440)</f>
        <v>0</v>
      </c>
      <c r="C4" s="4">
        <f>B4+(Settings!$B$5/1440)</f>
        <v>2.0833333333333332E-2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3" t="s">
        <v>66</v>
      </c>
      <c r="Q4" s="3" t="s">
        <v>67</v>
      </c>
    </row>
    <row r="5" spans="1:17" ht="27.15" customHeight="1">
      <c r="A5" s="3">
        <v>2</v>
      </c>
      <c r="B5" s="4">
        <f>Settings!$B$4+((A5-1)*(Settings!$B$5+Settings!$B$6)/1440)</f>
        <v>4.1666666666666664E-2</v>
      </c>
      <c r="C5" s="4">
        <f>B5+(Settings!$B$5/1440)</f>
        <v>6.25E-2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</row>
    <row r="6" spans="1:17" ht="27.15" customHeight="1">
      <c r="A6" s="3">
        <v>3</v>
      </c>
      <c r="B6" s="4">
        <f>Settings!$B$4+((A6-1)*(Settings!$B$5+Settings!$B$6)/1440)</f>
        <v>8.3333333333333329E-2</v>
      </c>
      <c r="C6" s="4">
        <f>B6+(Settings!$B$5/1440)</f>
        <v>0.10416666666666666</v>
      </c>
      <c r="D6" s="3" t="s">
        <v>82</v>
      </c>
      <c r="E6" s="3" t="s">
        <v>83</v>
      </c>
      <c r="F6" s="3" t="s">
        <v>84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89</v>
      </c>
      <c r="L6" s="3" t="s">
        <v>90</v>
      </c>
      <c r="M6" s="3" t="s">
        <v>91</v>
      </c>
      <c r="N6" s="3" t="s">
        <v>92</v>
      </c>
      <c r="O6" s="3" t="s">
        <v>93</v>
      </c>
      <c r="P6" s="3" t="s">
        <v>94</v>
      </c>
      <c r="Q6" s="3" t="s">
        <v>95</v>
      </c>
    </row>
    <row r="7" spans="1:17" ht="27.15" customHeight="1">
      <c r="A7" s="3">
        <v>4</v>
      </c>
      <c r="B7" s="4">
        <f>Settings!$B$4+((A7-1)*(Settings!$B$5+Settings!$B$6)/1440)</f>
        <v>0.125</v>
      </c>
      <c r="C7" s="4">
        <f>B7+(Settings!$B$5/1440)</f>
        <v>0.14583333333333334</v>
      </c>
      <c r="D7" s="3" t="s">
        <v>96</v>
      </c>
      <c r="E7" s="3" t="s">
        <v>97</v>
      </c>
      <c r="F7" s="3" t="s">
        <v>98</v>
      </c>
      <c r="G7" s="3" t="s">
        <v>99</v>
      </c>
      <c r="H7" s="3" t="s">
        <v>100</v>
      </c>
      <c r="I7" s="3" t="s">
        <v>101</v>
      </c>
      <c r="J7" s="3" t="s">
        <v>102</v>
      </c>
      <c r="K7" s="3" t="s">
        <v>103</v>
      </c>
      <c r="L7" s="3" t="s">
        <v>104</v>
      </c>
      <c r="M7" s="3" t="s">
        <v>105</v>
      </c>
      <c r="N7" s="3" t="s">
        <v>106</v>
      </c>
      <c r="O7" s="3" t="s">
        <v>107</v>
      </c>
      <c r="P7" s="3" t="s">
        <v>108</v>
      </c>
      <c r="Q7" s="3" t="s">
        <v>109</v>
      </c>
    </row>
    <row r="8" spans="1:17" ht="27.15" customHeight="1">
      <c r="A8" s="3">
        <v>5</v>
      </c>
      <c r="B8" s="4">
        <f>Settings!$B$4+((A8-1)*(Settings!$B$5+Settings!$B$6)/1440)</f>
        <v>0.16666666666666666</v>
      </c>
      <c r="C8" s="4">
        <f>B8+(Settings!$B$5/1440)</f>
        <v>0.1875</v>
      </c>
      <c r="D8" s="3" t="s">
        <v>110</v>
      </c>
      <c r="E8" s="3" t="s">
        <v>111</v>
      </c>
      <c r="F8" s="3" t="s">
        <v>112</v>
      </c>
      <c r="G8" s="3" t="s">
        <v>113</v>
      </c>
      <c r="H8" s="3" t="s">
        <v>114</v>
      </c>
      <c r="I8" s="3" t="s">
        <v>115</v>
      </c>
      <c r="J8" s="3" t="s">
        <v>116</v>
      </c>
      <c r="K8" s="3" t="s">
        <v>117</v>
      </c>
      <c r="L8" s="3" t="s">
        <v>118</v>
      </c>
      <c r="M8" s="3" t="s">
        <v>119</v>
      </c>
      <c r="N8" s="3" t="s">
        <v>120</v>
      </c>
      <c r="O8" s="3" t="s">
        <v>121</v>
      </c>
      <c r="P8" s="3" t="s">
        <v>122</v>
      </c>
      <c r="Q8" s="3" t="s">
        <v>123</v>
      </c>
    </row>
    <row r="9" spans="1:17" ht="27.15" customHeight="1">
      <c r="A9" s="3">
        <v>6</v>
      </c>
      <c r="B9" s="4">
        <f>Settings!$B$4+((A9-1)*(Settings!$B$5+Settings!$B$6)/1440)</f>
        <v>0.20833333333333334</v>
      </c>
      <c r="C9" s="4">
        <f>B9+(Settings!$B$5/1440)</f>
        <v>0.22916666666666669</v>
      </c>
      <c r="D9" s="3" t="s">
        <v>124</v>
      </c>
      <c r="E9" s="3" t="s">
        <v>125</v>
      </c>
      <c r="F9" s="3" t="s">
        <v>126</v>
      </c>
      <c r="G9" s="3" t="s">
        <v>127</v>
      </c>
      <c r="H9" s="3" t="s">
        <v>128</v>
      </c>
      <c r="I9" s="3" t="s">
        <v>129</v>
      </c>
      <c r="J9" s="3" t="s">
        <v>130</v>
      </c>
      <c r="K9" s="3" t="s">
        <v>131</v>
      </c>
      <c r="L9" s="3" t="s">
        <v>132</v>
      </c>
      <c r="M9" s="3" t="s">
        <v>133</v>
      </c>
      <c r="N9" s="3" t="s">
        <v>134</v>
      </c>
      <c r="O9" s="3" t="s">
        <v>135</v>
      </c>
      <c r="P9" s="3" t="s">
        <v>136</v>
      </c>
      <c r="Q9" s="3" t="s">
        <v>137</v>
      </c>
    </row>
    <row r="10" spans="1:17" ht="27.15" customHeight="1">
      <c r="A10" s="3">
        <v>7</v>
      </c>
      <c r="B10" s="4">
        <f>Settings!$B$4+((A10-1)*(Settings!$B$5+Settings!$B$6)/1440)</f>
        <v>0.25</v>
      </c>
      <c r="C10" s="4">
        <f>B10+(Settings!$B$5/1440)</f>
        <v>0.27083333333333331</v>
      </c>
      <c r="D10" s="3" t="s">
        <v>138</v>
      </c>
      <c r="E10" s="3" t="s">
        <v>139</v>
      </c>
      <c r="F10" s="3" t="s">
        <v>140</v>
      </c>
      <c r="G10" s="3" t="s">
        <v>141</v>
      </c>
      <c r="H10" s="3" t="s">
        <v>142</v>
      </c>
      <c r="I10" s="3" t="s">
        <v>143</v>
      </c>
      <c r="J10" s="3" t="s">
        <v>144</v>
      </c>
      <c r="K10" s="3" t="s">
        <v>145</v>
      </c>
      <c r="L10" s="3" t="s">
        <v>146</v>
      </c>
      <c r="M10" s="3" t="s">
        <v>147</v>
      </c>
      <c r="N10" s="3" t="s">
        <v>148</v>
      </c>
      <c r="O10" s="3" t="s">
        <v>149</v>
      </c>
      <c r="P10" s="3" t="s">
        <v>150</v>
      </c>
      <c r="Q10" s="3" t="s">
        <v>151</v>
      </c>
    </row>
    <row r="11" spans="1:17" ht="27.15" customHeight="1">
      <c r="A11" s="3">
        <v>8</v>
      </c>
      <c r="B11" s="4">
        <f>Settings!$B$4+((A11-1)*(Settings!$B$5+Settings!$B$6)/1440)</f>
        <v>0.29166666666666669</v>
      </c>
      <c r="C11" s="4">
        <f>B11+(Settings!$B$5/1440)</f>
        <v>0.3125</v>
      </c>
      <c r="D11" s="3" t="s">
        <v>152</v>
      </c>
      <c r="E11" s="3" t="s">
        <v>153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  <c r="N11" s="3" t="s">
        <v>162</v>
      </c>
      <c r="O11" s="3" t="s">
        <v>163</v>
      </c>
      <c r="P11" s="3" t="s">
        <v>164</v>
      </c>
      <c r="Q11" s="3" t="s">
        <v>165</v>
      </c>
    </row>
    <row r="12" spans="1:17" ht="27.15" customHeight="1">
      <c r="A12" s="3">
        <v>9</v>
      </c>
      <c r="B12" s="4">
        <f>Settings!$B$4+((A12-1)*(Settings!$B$5+Settings!$B$6)/1440)</f>
        <v>0.33333333333333331</v>
      </c>
      <c r="C12" s="4">
        <f>B12+(Settings!$B$5/1440)</f>
        <v>0.35416666666666663</v>
      </c>
      <c r="D12" s="3" t="s">
        <v>166</v>
      </c>
      <c r="E12" s="3" t="s">
        <v>167</v>
      </c>
      <c r="F12" s="3" t="s">
        <v>168</v>
      </c>
      <c r="G12" s="3" t="s">
        <v>169</v>
      </c>
      <c r="H12" s="3" t="s">
        <v>170</v>
      </c>
      <c r="I12" s="3" t="s">
        <v>171</v>
      </c>
      <c r="J12" s="3" t="s">
        <v>172</v>
      </c>
      <c r="K12" s="3" t="s">
        <v>173</v>
      </c>
      <c r="L12" s="3" t="s">
        <v>174</v>
      </c>
      <c r="M12" s="3" t="s">
        <v>175</v>
      </c>
      <c r="N12" s="3" t="s">
        <v>176</v>
      </c>
      <c r="O12" s="3" t="s">
        <v>176</v>
      </c>
      <c r="P12" s="3" t="s">
        <v>177</v>
      </c>
      <c r="Q12" s="3" t="s">
        <v>178</v>
      </c>
    </row>
    <row r="13" spans="1:17" ht="27.15" customHeight="1">
      <c r="A13" s="3">
        <v>10</v>
      </c>
      <c r="B13" s="4">
        <f>Settings!$B$4+((A13-1)*(Settings!$B$5+Settings!$B$6)/1440)</f>
        <v>0.375</v>
      </c>
      <c r="C13" s="4">
        <f>B13+(Settings!$B$5/1440)</f>
        <v>0.39583333333333331</v>
      </c>
      <c r="D13" s="3" t="s">
        <v>179</v>
      </c>
      <c r="E13" s="3" t="s">
        <v>180</v>
      </c>
      <c r="F13" s="3" t="s">
        <v>181</v>
      </c>
      <c r="G13" s="3" t="s">
        <v>182</v>
      </c>
      <c r="H13" s="3" t="s">
        <v>183</v>
      </c>
      <c r="I13" s="3" t="s">
        <v>184</v>
      </c>
      <c r="J13" s="3" t="s">
        <v>185</v>
      </c>
      <c r="K13" s="3" t="s">
        <v>186</v>
      </c>
      <c r="L13" s="3" t="s">
        <v>187</v>
      </c>
      <c r="M13" s="3" t="s">
        <v>188</v>
      </c>
      <c r="N13" s="3" t="s">
        <v>176</v>
      </c>
      <c r="O13" s="3" t="s">
        <v>176</v>
      </c>
      <c r="P13" s="3" t="s">
        <v>189</v>
      </c>
      <c r="Q13" s="3" t="s">
        <v>190</v>
      </c>
    </row>
    <row r="14" spans="1:17" ht="27.15" customHeight="1">
      <c r="A14" s="3">
        <v>11</v>
      </c>
      <c r="B14" s="4">
        <f>Settings!$B$4+((A14-1)*(Settings!$B$5+Settings!$B$6)/1440)</f>
        <v>0.41666666666666669</v>
      </c>
      <c r="C14" s="4">
        <f>B14+(Settings!$B$5/1440)</f>
        <v>0.4375</v>
      </c>
      <c r="D14" s="3" t="s">
        <v>191</v>
      </c>
      <c r="E14" s="3" t="s">
        <v>176</v>
      </c>
      <c r="F14" s="3" t="s">
        <v>192</v>
      </c>
      <c r="G14" s="3" t="s">
        <v>176</v>
      </c>
      <c r="H14" s="3" t="s">
        <v>193</v>
      </c>
      <c r="I14" s="3" t="s">
        <v>194</v>
      </c>
      <c r="J14" s="3" t="s">
        <v>195</v>
      </c>
      <c r="K14" s="3" t="s">
        <v>196</v>
      </c>
      <c r="L14" s="3" t="s">
        <v>197</v>
      </c>
      <c r="M14" s="3" t="s">
        <v>176</v>
      </c>
      <c r="N14" s="3" t="s">
        <v>176</v>
      </c>
      <c r="O14" s="3" t="s">
        <v>176</v>
      </c>
      <c r="P14" s="3" t="s">
        <v>198</v>
      </c>
      <c r="Q14" s="3" t="s">
        <v>199</v>
      </c>
    </row>
    <row r="15" spans="1:17" ht="27.15" customHeight="1">
      <c r="A15" s="3">
        <v>12</v>
      </c>
      <c r="B15" s="4">
        <f>Settings!$B$4+((A15-1)*(Settings!$B$5+Settings!$B$6)/1440)</f>
        <v>0.45833333333333331</v>
      </c>
      <c r="C15" s="4">
        <f>B15+(Settings!$B$5/1440)</f>
        <v>0.47916666666666663</v>
      </c>
      <c r="D15" s="3" t="s">
        <v>176</v>
      </c>
      <c r="E15" s="3" t="s">
        <v>176</v>
      </c>
      <c r="F15" s="3" t="s">
        <v>176</v>
      </c>
      <c r="G15" s="3" t="s">
        <v>176</v>
      </c>
      <c r="H15" s="3" t="s">
        <v>200</v>
      </c>
      <c r="I15" s="3" t="s">
        <v>201</v>
      </c>
      <c r="J15" s="3" t="s">
        <v>176</v>
      </c>
      <c r="K15" s="3" t="s">
        <v>202</v>
      </c>
      <c r="L15" s="3" t="s">
        <v>203</v>
      </c>
      <c r="M15" s="3" t="s">
        <v>176</v>
      </c>
      <c r="N15" s="3" t="s">
        <v>176</v>
      </c>
      <c r="O15" s="3" t="s">
        <v>176</v>
      </c>
      <c r="P15" s="3" t="s">
        <v>204</v>
      </c>
      <c r="Q15" s="3" t="s">
        <v>205</v>
      </c>
    </row>
    <row r="16" spans="1:17" ht="27.15" customHeight="1">
      <c r="A16" s="3">
        <v>13</v>
      </c>
      <c r="B16" s="4">
        <f>Settings!$B$4+((A16-1)*(Settings!$B$5+Settings!$B$6)/1440)</f>
        <v>0.5</v>
      </c>
      <c r="C16" s="4">
        <f>B16+(Settings!$B$5/1440)</f>
        <v>0.52083333333333337</v>
      </c>
      <c r="D16" s="3" t="s">
        <v>176</v>
      </c>
      <c r="E16" s="3" t="s">
        <v>176</v>
      </c>
      <c r="F16" s="3" t="s">
        <v>176</v>
      </c>
      <c r="G16" s="3" t="s">
        <v>176</v>
      </c>
      <c r="H16" s="3" t="s">
        <v>206</v>
      </c>
      <c r="I16" s="3" t="s">
        <v>207</v>
      </c>
      <c r="J16" s="3" t="s">
        <v>176</v>
      </c>
      <c r="K16" s="3" t="s">
        <v>176</v>
      </c>
      <c r="L16" s="3" t="s">
        <v>208</v>
      </c>
      <c r="M16" s="3" t="s">
        <v>176</v>
      </c>
      <c r="N16" s="3" t="s">
        <v>176</v>
      </c>
      <c r="O16" s="3" t="s">
        <v>176</v>
      </c>
      <c r="P16" s="3" t="s">
        <v>209</v>
      </c>
      <c r="Q16" s="3" t="s">
        <v>210</v>
      </c>
    </row>
    <row r="17" spans="1:17" ht="27.15" customHeight="1">
      <c r="A17" s="3">
        <v>14</v>
      </c>
      <c r="B17" s="4">
        <f>Settings!$B$4+((A17-1)*(Settings!$B$5+Settings!$B$6)/1440)</f>
        <v>0.54166666666666663</v>
      </c>
      <c r="C17" s="4">
        <f>B17+(Settings!$B$5/1440)</f>
        <v>0.5625</v>
      </c>
      <c r="D17" s="3" t="s">
        <v>176</v>
      </c>
      <c r="E17" s="3" t="s">
        <v>176</v>
      </c>
      <c r="F17" s="3" t="s">
        <v>176</v>
      </c>
      <c r="G17" s="3" t="s">
        <v>176</v>
      </c>
      <c r="H17" s="3" t="s">
        <v>211</v>
      </c>
      <c r="I17" s="3" t="s">
        <v>212</v>
      </c>
      <c r="J17" s="3" t="s">
        <v>176</v>
      </c>
      <c r="K17" s="3" t="s">
        <v>176</v>
      </c>
      <c r="L17" s="3" t="s">
        <v>213</v>
      </c>
      <c r="M17" s="3" t="s">
        <v>176</v>
      </c>
      <c r="N17" s="3" t="s">
        <v>176</v>
      </c>
      <c r="O17" s="3" t="s">
        <v>176</v>
      </c>
      <c r="P17" s="3" t="s">
        <v>176</v>
      </c>
      <c r="Q17" s="3" t="s">
        <v>214</v>
      </c>
    </row>
    <row r="18" spans="1:17" ht="27.15" customHeight="1">
      <c r="A18" s="3">
        <v>15</v>
      </c>
      <c r="B18" s="4">
        <f>Settings!$B$4+((A18-1)*(Settings!$B$5+Settings!$B$6)/1440)</f>
        <v>0.58333333333333337</v>
      </c>
      <c r="C18" s="4">
        <f>B18+(Settings!$B$5/1440)</f>
        <v>0.60416666666666674</v>
      </c>
      <c r="D18" s="3" t="s">
        <v>176</v>
      </c>
      <c r="E18" s="3" t="s">
        <v>176</v>
      </c>
      <c r="F18" s="3" t="s">
        <v>176</v>
      </c>
      <c r="G18" s="3" t="s">
        <v>176</v>
      </c>
      <c r="H18" s="3" t="s">
        <v>215</v>
      </c>
      <c r="I18" s="3" t="s">
        <v>216</v>
      </c>
      <c r="J18" s="3" t="s">
        <v>176</v>
      </c>
      <c r="K18" s="3" t="s">
        <v>176</v>
      </c>
      <c r="L18" s="3" t="s">
        <v>217</v>
      </c>
      <c r="M18" s="3" t="s">
        <v>176</v>
      </c>
      <c r="N18" s="3" t="s">
        <v>176</v>
      </c>
      <c r="O18" s="3" t="s">
        <v>176</v>
      </c>
      <c r="P18" s="3" t="s">
        <v>176</v>
      </c>
      <c r="Q18" s="3" t="s">
        <v>218</v>
      </c>
    </row>
    <row r="19" spans="1:17" ht="27.15" customHeight="1">
      <c r="A19" s="3">
        <v>16</v>
      </c>
      <c r="B19" s="4">
        <f>Settings!$B$4+((A19-1)*(Settings!$B$5+Settings!$B$6)/1440)</f>
        <v>0.625</v>
      </c>
      <c r="C19" s="4">
        <f>B19+(Settings!$B$5/1440)</f>
        <v>0.64583333333333337</v>
      </c>
      <c r="D19" s="3" t="s">
        <v>176</v>
      </c>
      <c r="E19" s="3" t="s">
        <v>176</v>
      </c>
      <c r="F19" s="3" t="s">
        <v>176</v>
      </c>
      <c r="G19" s="3" t="s">
        <v>176</v>
      </c>
      <c r="H19" s="3" t="s">
        <v>219</v>
      </c>
      <c r="I19" s="3" t="s">
        <v>220</v>
      </c>
      <c r="J19" s="3" t="s">
        <v>176</v>
      </c>
      <c r="K19" s="3" t="s">
        <v>176</v>
      </c>
      <c r="L19" s="3" t="s">
        <v>221</v>
      </c>
      <c r="M19" s="3" t="s">
        <v>176</v>
      </c>
      <c r="N19" s="3" t="s">
        <v>176</v>
      </c>
      <c r="O19" s="3" t="s">
        <v>176</v>
      </c>
      <c r="P19" s="3" t="s">
        <v>176</v>
      </c>
      <c r="Q19" s="3" t="s">
        <v>176</v>
      </c>
    </row>
    <row r="20" spans="1:17" ht="27.15" customHeight="1">
      <c r="A20" s="3">
        <v>17</v>
      </c>
      <c r="B20" s="4">
        <f>Settings!$B$4+((A20-1)*(Settings!$B$5+Settings!$B$6)/1440)</f>
        <v>0.66666666666666663</v>
      </c>
      <c r="C20" s="4">
        <f>B20+(Settings!$B$5/1440)</f>
        <v>0.6875</v>
      </c>
      <c r="D20" s="3" t="s">
        <v>176</v>
      </c>
      <c r="E20" s="3" t="s">
        <v>176</v>
      </c>
      <c r="F20" s="3" t="s">
        <v>176</v>
      </c>
      <c r="G20" s="3" t="s">
        <v>176</v>
      </c>
      <c r="H20" s="3" t="s">
        <v>222</v>
      </c>
      <c r="I20" s="3" t="s">
        <v>176</v>
      </c>
      <c r="J20" s="3" t="s">
        <v>176</v>
      </c>
      <c r="K20" s="3" t="s">
        <v>176</v>
      </c>
      <c r="L20" s="3" t="s">
        <v>176</v>
      </c>
      <c r="M20" s="3" t="s">
        <v>176</v>
      </c>
      <c r="N20" s="3" t="s">
        <v>176</v>
      </c>
      <c r="O20" s="3" t="s">
        <v>176</v>
      </c>
      <c r="P20" s="3" t="s">
        <v>176</v>
      </c>
      <c r="Q20" s="3" t="s">
        <v>176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1"/>
  <sheetViews>
    <sheetView topLeftCell="A132" workbookViewId="0">
      <selection activeCell="H4" sqref="H4"/>
    </sheetView>
  </sheetViews>
  <sheetFormatPr defaultRowHeight="13.8"/>
  <cols>
    <col min="1" max="2" width="8" customWidth="1"/>
    <col min="3" max="3" width="7" customWidth="1"/>
    <col min="4" max="4" width="12" customWidth="1"/>
    <col min="5" max="5" width="10" customWidth="1"/>
    <col min="6" max="6" width="24" customWidth="1"/>
    <col min="7" max="8" width="10" customWidth="1"/>
    <col min="9" max="9" width="12" customWidth="1"/>
    <col min="10" max="13" width="16" customWidth="1"/>
    <col min="14" max="14" width="28" customWidth="1"/>
  </cols>
  <sheetData>
    <row r="1" spans="1:14" ht="22.35" customHeight="1">
      <c r="A1" s="26" t="s">
        <v>223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3" spans="1:14">
      <c r="A3" s="2" t="s">
        <v>10</v>
      </c>
      <c r="B3" s="2" t="s">
        <v>12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52</v>
      </c>
      <c r="H3" s="2" t="s">
        <v>53</v>
      </c>
      <c r="I3" s="2" t="s">
        <v>228</v>
      </c>
      <c r="J3" s="2" t="s">
        <v>229</v>
      </c>
      <c r="K3" s="2" t="s">
        <v>230</v>
      </c>
      <c r="L3" s="2" t="s">
        <v>231</v>
      </c>
      <c r="M3" s="2" t="s">
        <v>232</v>
      </c>
      <c r="N3" s="2" t="s">
        <v>4</v>
      </c>
    </row>
    <row r="4" spans="1:14">
      <c r="A4" s="3">
        <v>1</v>
      </c>
      <c r="B4" s="3" t="s">
        <v>23</v>
      </c>
      <c r="C4" s="3">
        <v>1</v>
      </c>
      <c r="D4" s="3" t="s">
        <v>233</v>
      </c>
      <c r="E4" s="3" t="s">
        <v>234</v>
      </c>
      <c r="F4" s="3" t="s">
        <v>235</v>
      </c>
      <c r="G4" s="4">
        <f>Settings!$B$4+((A4-1)*(Settings!$B$5+Settings!$B$6)/1440)</f>
        <v>0</v>
      </c>
      <c r="H4" s="4">
        <f>G4+(Settings!$B$5/1440)</f>
        <v>2.0833333333333332E-2</v>
      </c>
      <c r="I4" s="3" t="s">
        <v>236</v>
      </c>
      <c r="J4" s="3">
        <v>45</v>
      </c>
      <c r="K4" s="3">
        <v>45.2</v>
      </c>
      <c r="L4" s="3">
        <v>70</v>
      </c>
      <c r="M4" s="3"/>
      <c r="N4" s="3"/>
    </row>
    <row r="5" spans="1:14">
      <c r="A5" s="3">
        <v>1</v>
      </c>
      <c r="B5" s="3" t="s">
        <v>26</v>
      </c>
      <c r="C5" s="3">
        <v>1</v>
      </c>
      <c r="D5" s="3" t="s">
        <v>237</v>
      </c>
      <c r="E5" s="3" t="s">
        <v>238</v>
      </c>
      <c r="F5" s="3" t="s">
        <v>239</v>
      </c>
      <c r="G5" s="4">
        <f>Settings!$B$4+((A5-1)*(Settings!$B$5+Settings!$B$6)/1440)</f>
        <v>0</v>
      </c>
      <c r="H5" s="4">
        <f>G5+(Settings!$B$5/1440)</f>
        <v>2.0833333333333332E-2</v>
      </c>
      <c r="I5" s="3" t="s">
        <v>236</v>
      </c>
      <c r="J5" s="3">
        <v>45</v>
      </c>
      <c r="K5" s="3">
        <v>45.2</v>
      </c>
      <c r="L5" s="3">
        <v>70</v>
      </c>
      <c r="M5" s="3"/>
      <c r="N5" s="3"/>
    </row>
    <row r="6" spans="1:14">
      <c r="A6" s="3">
        <v>1</v>
      </c>
      <c r="B6" s="3" t="s">
        <v>29</v>
      </c>
      <c r="C6" s="3">
        <v>1</v>
      </c>
      <c r="D6" s="3" t="s">
        <v>240</v>
      </c>
      <c r="E6" s="3" t="s">
        <v>241</v>
      </c>
      <c r="F6" s="3" t="s">
        <v>242</v>
      </c>
      <c r="G6" s="4">
        <f>Settings!$B$4+((A6-1)*(Settings!$B$5+Settings!$B$6)/1440)</f>
        <v>0</v>
      </c>
      <c r="H6" s="4">
        <f>G6+(Settings!$B$5/1440)</f>
        <v>2.0833333333333332E-2</v>
      </c>
      <c r="I6" s="3" t="s">
        <v>236</v>
      </c>
      <c r="J6" s="3">
        <v>45</v>
      </c>
      <c r="K6" s="3">
        <v>45.2</v>
      </c>
      <c r="L6" s="3">
        <v>70</v>
      </c>
      <c r="M6" s="3"/>
      <c r="N6" s="3"/>
    </row>
    <row r="7" spans="1:14">
      <c r="A7" s="3">
        <v>1</v>
      </c>
      <c r="B7" s="3" t="s">
        <v>32</v>
      </c>
      <c r="C7" s="3">
        <v>1</v>
      </c>
      <c r="D7" s="3" t="s">
        <v>243</v>
      </c>
      <c r="E7" s="3" t="s">
        <v>244</v>
      </c>
      <c r="F7" s="3" t="s">
        <v>245</v>
      </c>
      <c r="G7" s="4">
        <f>Settings!$B$4+((A7-1)*(Settings!$B$5+Settings!$B$6)/1440)</f>
        <v>0</v>
      </c>
      <c r="H7" s="4">
        <f>G7+(Settings!$B$5/1440)</f>
        <v>2.0833333333333332E-2</v>
      </c>
      <c r="I7" s="3" t="s">
        <v>236</v>
      </c>
      <c r="J7" s="3">
        <v>45</v>
      </c>
      <c r="K7" s="3">
        <v>45.2</v>
      </c>
      <c r="L7" s="3">
        <v>70</v>
      </c>
      <c r="M7" s="3"/>
      <c r="N7" s="3"/>
    </row>
    <row r="8" spans="1:14">
      <c r="A8" s="3">
        <v>1</v>
      </c>
      <c r="B8" s="3" t="s">
        <v>35</v>
      </c>
      <c r="C8" s="3">
        <v>1</v>
      </c>
      <c r="D8" s="3" t="s">
        <v>246</v>
      </c>
      <c r="E8" s="3" t="s">
        <v>247</v>
      </c>
      <c r="F8" s="3" t="s">
        <v>248</v>
      </c>
      <c r="G8" s="4">
        <f>Settings!$B$4+((A8-1)*(Settings!$B$5+Settings!$B$6)/1440)</f>
        <v>0</v>
      </c>
      <c r="H8" s="4">
        <f>G8+(Settings!$B$5/1440)</f>
        <v>2.0833333333333332E-2</v>
      </c>
      <c r="I8" s="3" t="s">
        <v>236</v>
      </c>
      <c r="J8" s="3">
        <v>45</v>
      </c>
      <c r="K8" s="3">
        <v>45.2</v>
      </c>
      <c r="L8" s="3">
        <v>70</v>
      </c>
      <c r="M8" s="3"/>
      <c r="N8" s="3"/>
    </row>
    <row r="9" spans="1:14">
      <c r="A9" s="3">
        <v>1</v>
      </c>
      <c r="B9" s="3" t="s">
        <v>38</v>
      </c>
      <c r="C9" s="3">
        <v>1</v>
      </c>
      <c r="D9" s="3" t="s">
        <v>249</v>
      </c>
      <c r="E9" s="3" t="s">
        <v>250</v>
      </c>
      <c r="F9" s="3" t="s">
        <v>251</v>
      </c>
      <c r="G9" s="4">
        <f>Settings!$B$4+((A9-1)*(Settings!$B$5+Settings!$B$6)/1440)</f>
        <v>0</v>
      </c>
      <c r="H9" s="4">
        <f>G9+(Settings!$B$5/1440)</f>
        <v>2.0833333333333332E-2</v>
      </c>
      <c r="I9" s="3" t="s">
        <v>236</v>
      </c>
      <c r="J9" s="3">
        <v>45</v>
      </c>
      <c r="K9" s="3">
        <v>45.2</v>
      </c>
      <c r="L9" s="3">
        <v>70</v>
      </c>
      <c r="M9" s="3"/>
      <c r="N9" s="3"/>
    </row>
    <row r="10" spans="1:14">
      <c r="A10" s="3">
        <v>1</v>
      </c>
      <c r="B10" s="3" t="s">
        <v>39</v>
      </c>
      <c r="C10" s="3">
        <v>1</v>
      </c>
      <c r="D10" s="3" t="s">
        <v>252</v>
      </c>
      <c r="E10" s="3" t="s">
        <v>253</v>
      </c>
      <c r="F10" s="3" t="s">
        <v>254</v>
      </c>
      <c r="G10" s="4">
        <f>Settings!$B$4+((A10-1)*(Settings!$B$5+Settings!$B$6)/1440)</f>
        <v>0</v>
      </c>
      <c r="H10" s="4">
        <f>G10+(Settings!$B$5/1440)</f>
        <v>2.0833333333333332E-2</v>
      </c>
      <c r="I10" s="3" t="s">
        <v>236</v>
      </c>
      <c r="J10" s="3">
        <v>45</v>
      </c>
      <c r="K10" s="3">
        <v>45.2</v>
      </c>
      <c r="L10" s="3">
        <v>70</v>
      </c>
      <c r="M10" s="3"/>
      <c r="N10" s="3"/>
    </row>
    <row r="11" spans="1:14">
      <c r="A11" s="3">
        <v>1</v>
      </c>
      <c r="B11" s="3" t="s">
        <v>40</v>
      </c>
      <c r="C11" s="3">
        <v>1</v>
      </c>
      <c r="D11" s="3" t="s">
        <v>255</v>
      </c>
      <c r="E11" s="3" t="s">
        <v>256</v>
      </c>
      <c r="F11" s="3" t="s">
        <v>257</v>
      </c>
      <c r="G11" s="4">
        <f>Settings!$B$4+((A11-1)*(Settings!$B$5+Settings!$B$6)/1440)</f>
        <v>0</v>
      </c>
      <c r="H11" s="4">
        <f>G11+(Settings!$B$5/1440)</f>
        <v>2.0833333333333332E-2</v>
      </c>
      <c r="I11" s="3" t="s">
        <v>236</v>
      </c>
      <c r="J11" s="3">
        <v>45</v>
      </c>
      <c r="K11" s="3">
        <v>45.2</v>
      </c>
      <c r="L11" s="3">
        <v>70</v>
      </c>
      <c r="M11" s="3"/>
      <c r="N11" s="3"/>
    </row>
    <row r="12" spans="1:14">
      <c r="A12" s="3">
        <v>1</v>
      </c>
      <c r="B12" s="3" t="s">
        <v>41</v>
      </c>
      <c r="C12" s="3">
        <v>1</v>
      </c>
      <c r="D12" s="3" t="s">
        <v>258</v>
      </c>
      <c r="E12" s="3" t="s">
        <v>259</v>
      </c>
      <c r="F12" s="3" t="s">
        <v>260</v>
      </c>
      <c r="G12" s="4">
        <f>Settings!$B$4+((A12-1)*(Settings!$B$5+Settings!$B$6)/1440)</f>
        <v>0</v>
      </c>
      <c r="H12" s="4">
        <f>G12+(Settings!$B$5/1440)</f>
        <v>2.0833333333333332E-2</v>
      </c>
      <c r="I12" s="3" t="s">
        <v>236</v>
      </c>
      <c r="J12" s="3">
        <v>45</v>
      </c>
      <c r="K12" s="3">
        <v>45.2</v>
      </c>
      <c r="L12" s="3">
        <v>70</v>
      </c>
      <c r="M12" s="3"/>
      <c r="N12" s="3"/>
    </row>
    <row r="13" spans="1:14">
      <c r="A13" s="3">
        <v>1</v>
      </c>
      <c r="B13" s="3" t="s">
        <v>42</v>
      </c>
      <c r="C13" s="3">
        <v>1</v>
      </c>
      <c r="D13" s="3" t="s">
        <v>261</v>
      </c>
      <c r="E13" s="3" t="s">
        <v>262</v>
      </c>
      <c r="F13" s="3" t="s">
        <v>263</v>
      </c>
      <c r="G13" s="4">
        <f>Settings!$B$4+((A13-1)*(Settings!$B$5+Settings!$B$6)/1440)</f>
        <v>0</v>
      </c>
      <c r="H13" s="4">
        <f>G13+(Settings!$B$5/1440)</f>
        <v>2.0833333333333332E-2</v>
      </c>
      <c r="I13" s="3" t="s">
        <v>236</v>
      </c>
      <c r="J13" s="3">
        <v>45</v>
      </c>
      <c r="K13" s="3">
        <v>45.2</v>
      </c>
      <c r="L13" s="3">
        <v>70</v>
      </c>
      <c r="M13" s="3"/>
      <c r="N13" s="3"/>
    </row>
    <row r="14" spans="1:14">
      <c r="A14" s="3">
        <v>1</v>
      </c>
      <c r="B14" s="3" t="s">
        <v>43</v>
      </c>
      <c r="C14" s="3">
        <v>1</v>
      </c>
      <c r="D14" s="3" t="s">
        <v>264</v>
      </c>
      <c r="E14" s="3" t="s">
        <v>265</v>
      </c>
      <c r="F14" s="3" t="s">
        <v>266</v>
      </c>
      <c r="G14" s="4">
        <f>Settings!$B$4+((A14-1)*(Settings!$B$5+Settings!$B$6)/1440)</f>
        <v>0</v>
      </c>
      <c r="H14" s="4">
        <f>G14+(Settings!$B$5/1440)</f>
        <v>2.0833333333333332E-2</v>
      </c>
      <c r="I14" s="3" t="s">
        <v>236</v>
      </c>
      <c r="J14" s="3">
        <v>45</v>
      </c>
      <c r="K14" s="3">
        <v>45.2</v>
      </c>
      <c r="L14" s="3">
        <v>70</v>
      </c>
      <c r="M14" s="3"/>
      <c r="N14" s="3"/>
    </row>
    <row r="15" spans="1:14">
      <c r="A15" s="3">
        <v>1</v>
      </c>
      <c r="B15" s="3" t="s">
        <v>44</v>
      </c>
      <c r="C15" s="3">
        <v>1</v>
      </c>
      <c r="D15" s="3" t="s">
        <v>267</v>
      </c>
      <c r="E15" s="3" t="s">
        <v>268</v>
      </c>
      <c r="F15" s="3" t="s">
        <v>269</v>
      </c>
      <c r="G15" s="4">
        <f>Settings!$B$4+((A15-1)*(Settings!$B$5+Settings!$B$6)/1440)</f>
        <v>0</v>
      </c>
      <c r="H15" s="4">
        <f>G15+(Settings!$B$5/1440)</f>
        <v>2.0833333333333332E-2</v>
      </c>
      <c r="I15" s="3" t="s">
        <v>236</v>
      </c>
      <c r="J15" s="3">
        <v>45</v>
      </c>
      <c r="K15" s="3">
        <v>45.2</v>
      </c>
      <c r="L15" s="3">
        <v>70</v>
      </c>
      <c r="M15" s="3"/>
      <c r="N15" s="3"/>
    </row>
    <row r="16" spans="1:14">
      <c r="A16" s="3">
        <v>1</v>
      </c>
      <c r="B16" s="3" t="s">
        <v>45</v>
      </c>
      <c r="C16" s="3">
        <v>1</v>
      </c>
      <c r="D16" s="3" t="s">
        <v>270</v>
      </c>
      <c r="E16" s="3" t="s">
        <v>271</v>
      </c>
      <c r="F16" s="3" t="s">
        <v>272</v>
      </c>
      <c r="G16" s="4">
        <f>Settings!$B$4+((A16-1)*(Settings!$B$5+Settings!$B$6)/1440)</f>
        <v>0</v>
      </c>
      <c r="H16" s="4">
        <f>G16+(Settings!$B$5/1440)</f>
        <v>2.0833333333333332E-2</v>
      </c>
      <c r="I16" s="3" t="s">
        <v>236</v>
      </c>
      <c r="J16" s="3">
        <v>45</v>
      </c>
      <c r="K16" s="3">
        <v>45.2</v>
      </c>
      <c r="L16" s="3">
        <v>70</v>
      </c>
      <c r="M16" s="3"/>
      <c r="N16" s="3"/>
    </row>
    <row r="17" spans="1:14">
      <c r="A17" s="3">
        <v>1</v>
      </c>
      <c r="B17" s="3" t="s">
        <v>46</v>
      </c>
      <c r="C17" s="3">
        <v>1</v>
      </c>
      <c r="D17" s="3" t="s">
        <v>273</v>
      </c>
      <c r="E17" s="3" t="s">
        <v>274</v>
      </c>
      <c r="F17" s="3" t="s">
        <v>275</v>
      </c>
      <c r="G17" s="4">
        <f>Settings!$B$4+((A17-1)*(Settings!$B$5+Settings!$B$6)/1440)</f>
        <v>0</v>
      </c>
      <c r="H17" s="4">
        <f>G17+(Settings!$B$5/1440)</f>
        <v>2.0833333333333332E-2</v>
      </c>
      <c r="I17" s="3" t="s">
        <v>236</v>
      </c>
      <c r="J17" s="3">
        <v>45</v>
      </c>
      <c r="K17" s="3">
        <v>45.2</v>
      </c>
      <c r="L17" s="3">
        <v>70</v>
      </c>
      <c r="M17" s="3"/>
      <c r="N17" s="3"/>
    </row>
    <row r="18" spans="1:14">
      <c r="A18" s="3">
        <v>2</v>
      </c>
      <c r="B18" s="3" t="s">
        <v>23</v>
      </c>
      <c r="C18" s="3">
        <v>2</v>
      </c>
      <c r="D18" s="3" t="s">
        <v>276</v>
      </c>
      <c r="E18" s="3" t="s">
        <v>277</v>
      </c>
      <c r="F18" s="3" t="s">
        <v>278</v>
      </c>
      <c r="G18" s="4">
        <f>Settings!$B$4+((A18-1)*(Settings!$B$5+Settings!$B$6)/1440)</f>
        <v>4.1666666666666664E-2</v>
      </c>
      <c r="H18" s="4">
        <f>G18+(Settings!$B$5/1440)</f>
        <v>6.25E-2</v>
      </c>
      <c r="I18" s="3" t="s">
        <v>236</v>
      </c>
      <c r="J18" s="3">
        <v>45</v>
      </c>
      <c r="K18" s="3">
        <v>45.2</v>
      </c>
      <c r="L18" s="3">
        <v>70</v>
      </c>
      <c r="M18" s="3"/>
      <c r="N18" s="3"/>
    </row>
    <row r="19" spans="1:14">
      <c r="A19" s="3">
        <v>2</v>
      </c>
      <c r="B19" s="3" t="s">
        <v>26</v>
      </c>
      <c r="C19" s="3">
        <v>2</v>
      </c>
      <c r="D19" s="3" t="s">
        <v>279</v>
      </c>
      <c r="E19" s="3" t="s">
        <v>280</v>
      </c>
      <c r="F19" s="3" t="s">
        <v>281</v>
      </c>
      <c r="G19" s="4">
        <f>Settings!$B$4+((A19-1)*(Settings!$B$5+Settings!$B$6)/1440)</f>
        <v>4.1666666666666664E-2</v>
      </c>
      <c r="H19" s="4">
        <f>G19+(Settings!$B$5/1440)</f>
        <v>6.25E-2</v>
      </c>
      <c r="I19" s="3" t="s">
        <v>236</v>
      </c>
      <c r="J19" s="3">
        <v>45</v>
      </c>
      <c r="K19" s="3">
        <v>45.2</v>
      </c>
      <c r="L19" s="3">
        <v>70</v>
      </c>
      <c r="M19" s="3"/>
      <c r="N19" s="3"/>
    </row>
    <row r="20" spans="1:14">
      <c r="A20" s="3">
        <v>2</v>
      </c>
      <c r="B20" s="3" t="s">
        <v>29</v>
      </c>
      <c r="C20" s="3">
        <v>2</v>
      </c>
      <c r="D20" s="3" t="s">
        <v>282</v>
      </c>
      <c r="E20" s="3" t="s">
        <v>283</v>
      </c>
      <c r="F20" s="3" t="s">
        <v>284</v>
      </c>
      <c r="G20" s="4">
        <f>Settings!$B$4+((A20-1)*(Settings!$B$5+Settings!$B$6)/1440)</f>
        <v>4.1666666666666664E-2</v>
      </c>
      <c r="H20" s="4">
        <f>G20+(Settings!$B$5/1440)</f>
        <v>6.25E-2</v>
      </c>
      <c r="I20" s="3" t="s">
        <v>236</v>
      </c>
      <c r="J20" s="3">
        <v>45</v>
      </c>
      <c r="K20" s="3">
        <v>45.2</v>
      </c>
      <c r="L20" s="3">
        <v>70</v>
      </c>
      <c r="M20" s="3"/>
      <c r="N20" s="3"/>
    </row>
    <row r="21" spans="1:14">
      <c r="A21" s="3">
        <v>2</v>
      </c>
      <c r="B21" s="3" t="s">
        <v>32</v>
      </c>
      <c r="C21" s="3">
        <v>2</v>
      </c>
      <c r="D21" s="3" t="s">
        <v>285</v>
      </c>
      <c r="E21" s="3" t="s">
        <v>286</v>
      </c>
      <c r="F21" s="3" t="s">
        <v>287</v>
      </c>
      <c r="G21" s="4">
        <f>Settings!$B$4+((A21-1)*(Settings!$B$5+Settings!$B$6)/1440)</f>
        <v>4.1666666666666664E-2</v>
      </c>
      <c r="H21" s="4">
        <f>G21+(Settings!$B$5/1440)</f>
        <v>6.25E-2</v>
      </c>
      <c r="I21" s="3" t="s">
        <v>236</v>
      </c>
      <c r="J21" s="3">
        <v>45</v>
      </c>
      <c r="K21" s="3">
        <v>45.2</v>
      </c>
      <c r="L21" s="3">
        <v>70</v>
      </c>
      <c r="M21" s="3"/>
      <c r="N21" s="3"/>
    </row>
    <row r="22" spans="1:14">
      <c r="A22" s="3">
        <v>2</v>
      </c>
      <c r="B22" s="3" t="s">
        <v>35</v>
      </c>
      <c r="C22" s="3">
        <v>2</v>
      </c>
      <c r="D22" s="3" t="s">
        <v>288</v>
      </c>
      <c r="E22" s="3" t="s">
        <v>289</v>
      </c>
      <c r="F22" s="3" t="s">
        <v>290</v>
      </c>
      <c r="G22" s="4">
        <f>Settings!$B$4+((A22-1)*(Settings!$B$5+Settings!$B$6)/1440)</f>
        <v>4.1666666666666664E-2</v>
      </c>
      <c r="H22" s="4">
        <f>G22+(Settings!$B$5/1440)</f>
        <v>6.25E-2</v>
      </c>
      <c r="I22" s="3" t="s">
        <v>236</v>
      </c>
      <c r="J22" s="3">
        <v>45</v>
      </c>
      <c r="K22" s="3">
        <v>45.2</v>
      </c>
      <c r="L22" s="3">
        <v>70</v>
      </c>
      <c r="M22" s="3"/>
      <c r="N22" s="3"/>
    </row>
    <row r="23" spans="1:14">
      <c r="A23" s="3">
        <v>2</v>
      </c>
      <c r="B23" s="3" t="s">
        <v>38</v>
      </c>
      <c r="C23" s="3">
        <v>2</v>
      </c>
      <c r="D23" s="3" t="s">
        <v>291</v>
      </c>
      <c r="E23" s="3" t="s">
        <v>292</v>
      </c>
      <c r="F23" s="3" t="s">
        <v>293</v>
      </c>
      <c r="G23" s="4">
        <f>Settings!$B$4+((A23-1)*(Settings!$B$5+Settings!$B$6)/1440)</f>
        <v>4.1666666666666664E-2</v>
      </c>
      <c r="H23" s="4">
        <f>G23+(Settings!$B$5/1440)</f>
        <v>6.25E-2</v>
      </c>
      <c r="I23" s="3" t="s">
        <v>236</v>
      </c>
      <c r="J23" s="3">
        <v>45</v>
      </c>
      <c r="K23" s="3">
        <v>45.2</v>
      </c>
      <c r="L23" s="3">
        <v>70</v>
      </c>
      <c r="M23" s="3"/>
      <c r="N23" s="3"/>
    </row>
    <row r="24" spans="1:14">
      <c r="A24" s="3">
        <v>2</v>
      </c>
      <c r="B24" s="3" t="s">
        <v>39</v>
      </c>
      <c r="C24" s="3">
        <v>2</v>
      </c>
      <c r="D24" s="3" t="s">
        <v>294</v>
      </c>
      <c r="E24" s="3" t="s">
        <v>295</v>
      </c>
      <c r="F24" s="3" t="s">
        <v>296</v>
      </c>
      <c r="G24" s="4">
        <f>Settings!$B$4+((A24-1)*(Settings!$B$5+Settings!$B$6)/1440)</f>
        <v>4.1666666666666664E-2</v>
      </c>
      <c r="H24" s="4">
        <f>G24+(Settings!$B$5/1440)</f>
        <v>6.25E-2</v>
      </c>
      <c r="I24" s="3" t="s">
        <v>236</v>
      </c>
      <c r="J24" s="3">
        <v>45</v>
      </c>
      <c r="K24" s="3">
        <v>45.2</v>
      </c>
      <c r="L24" s="3">
        <v>70</v>
      </c>
      <c r="M24" s="3"/>
      <c r="N24" s="3"/>
    </row>
    <row r="25" spans="1:14">
      <c r="A25" s="3">
        <v>2</v>
      </c>
      <c r="B25" s="3" t="s">
        <v>40</v>
      </c>
      <c r="C25" s="3">
        <v>2</v>
      </c>
      <c r="D25" s="3" t="s">
        <v>297</v>
      </c>
      <c r="E25" s="3" t="s">
        <v>298</v>
      </c>
      <c r="F25" s="3" t="s">
        <v>299</v>
      </c>
      <c r="G25" s="4">
        <f>Settings!$B$4+((A25-1)*(Settings!$B$5+Settings!$B$6)/1440)</f>
        <v>4.1666666666666664E-2</v>
      </c>
      <c r="H25" s="4">
        <f>G25+(Settings!$B$5/1440)</f>
        <v>6.25E-2</v>
      </c>
      <c r="I25" s="3" t="s">
        <v>236</v>
      </c>
      <c r="J25" s="3">
        <v>45</v>
      </c>
      <c r="K25" s="3">
        <v>45.2</v>
      </c>
      <c r="L25" s="3">
        <v>70</v>
      </c>
      <c r="M25" s="3"/>
      <c r="N25" s="3"/>
    </row>
    <row r="26" spans="1:14">
      <c r="A26" s="3">
        <v>2</v>
      </c>
      <c r="B26" s="3" t="s">
        <v>41</v>
      </c>
      <c r="C26" s="3">
        <v>2</v>
      </c>
      <c r="D26" s="3" t="s">
        <v>300</v>
      </c>
      <c r="E26" s="3" t="s">
        <v>301</v>
      </c>
      <c r="F26" s="3" t="s">
        <v>302</v>
      </c>
      <c r="G26" s="4">
        <f>Settings!$B$4+((A26-1)*(Settings!$B$5+Settings!$B$6)/1440)</f>
        <v>4.1666666666666664E-2</v>
      </c>
      <c r="H26" s="4">
        <f>G26+(Settings!$B$5/1440)</f>
        <v>6.25E-2</v>
      </c>
      <c r="I26" s="3" t="s">
        <v>236</v>
      </c>
      <c r="J26" s="3">
        <v>45</v>
      </c>
      <c r="K26" s="3">
        <v>45.2</v>
      </c>
      <c r="L26" s="3">
        <v>70</v>
      </c>
      <c r="M26" s="3"/>
      <c r="N26" s="3"/>
    </row>
    <row r="27" spans="1:14">
      <c r="A27" s="3">
        <v>2</v>
      </c>
      <c r="B27" s="3" t="s">
        <v>42</v>
      </c>
      <c r="C27" s="3">
        <v>2</v>
      </c>
      <c r="D27" s="3" t="s">
        <v>303</v>
      </c>
      <c r="E27" s="3" t="s">
        <v>304</v>
      </c>
      <c r="F27" s="3" t="s">
        <v>305</v>
      </c>
      <c r="G27" s="4">
        <f>Settings!$B$4+((A27-1)*(Settings!$B$5+Settings!$B$6)/1440)</f>
        <v>4.1666666666666664E-2</v>
      </c>
      <c r="H27" s="4">
        <f>G27+(Settings!$B$5/1440)</f>
        <v>6.25E-2</v>
      </c>
      <c r="I27" s="3" t="s">
        <v>236</v>
      </c>
      <c r="J27" s="3">
        <v>45</v>
      </c>
      <c r="K27" s="3">
        <v>45.2</v>
      </c>
      <c r="L27" s="3">
        <v>70</v>
      </c>
      <c r="M27" s="3"/>
      <c r="N27" s="3"/>
    </row>
    <row r="28" spans="1:14">
      <c r="A28" s="3">
        <v>2</v>
      </c>
      <c r="B28" s="3" t="s">
        <v>43</v>
      </c>
      <c r="C28" s="3">
        <v>2</v>
      </c>
      <c r="D28" s="3" t="s">
        <v>306</v>
      </c>
      <c r="E28" s="3" t="s">
        <v>307</v>
      </c>
      <c r="F28" s="3" t="s">
        <v>308</v>
      </c>
      <c r="G28" s="4">
        <f>Settings!$B$4+((A28-1)*(Settings!$B$5+Settings!$B$6)/1440)</f>
        <v>4.1666666666666664E-2</v>
      </c>
      <c r="H28" s="4">
        <f>G28+(Settings!$B$5/1440)</f>
        <v>6.25E-2</v>
      </c>
      <c r="I28" s="3" t="s">
        <v>236</v>
      </c>
      <c r="J28" s="3">
        <v>45</v>
      </c>
      <c r="K28" s="3">
        <v>45.2</v>
      </c>
      <c r="L28" s="3">
        <v>70</v>
      </c>
      <c r="M28" s="3"/>
      <c r="N28" s="3"/>
    </row>
    <row r="29" spans="1:14">
      <c r="A29" s="3">
        <v>2</v>
      </c>
      <c r="B29" s="3" t="s">
        <v>44</v>
      </c>
      <c r="C29" s="3">
        <v>2</v>
      </c>
      <c r="D29" s="3" t="s">
        <v>309</v>
      </c>
      <c r="E29" s="3" t="s">
        <v>310</v>
      </c>
      <c r="F29" s="3" t="s">
        <v>311</v>
      </c>
      <c r="G29" s="4">
        <f>Settings!$B$4+((A29-1)*(Settings!$B$5+Settings!$B$6)/1440)</f>
        <v>4.1666666666666664E-2</v>
      </c>
      <c r="H29" s="4">
        <f>G29+(Settings!$B$5/1440)</f>
        <v>6.25E-2</v>
      </c>
      <c r="I29" s="3" t="s">
        <v>236</v>
      </c>
      <c r="J29" s="3">
        <v>45</v>
      </c>
      <c r="K29" s="3">
        <v>45.2</v>
      </c>
      <c r="L29" s="3">
        <v>70</v>
      </c>
      <c r="M29" s="3"/>
      <c r="N29" s="3"/>
    </row>
    <row r="30" spans="1:14">
      <c r="A30" s="3">
        <v>2</v>
      </c>
      <c r="B30" s="3" t="s">
        <v>45</v>
      </c>
      <c r="C30" s="3">
        <v>2</v>
      </c>
      <c r="D30" s="3" t="s">
        <v>312</v>
      </c>
      <c r="E30" s="3" t="s">
        <v>313</v>
      </c>
      <c r="F30" s="3" t="s">
        <v>314</v>
      </c>
      <c r="G30" s="4">
        <f>Settings!$B$4+((A30-1)*(Settings!$B$5+Settings!$B$6)/1440)</f>
        <v>4.1666666666666664E-2</v>
      </c>
      <c r="H30" s="4">
        <f>G30+(Settings!$B$5/1440)</f>
        <v>6.25E-2</v>
      </c>
      <c r="I30" s="3" t="s">
        <v>236</v>
      </c>
      <c r="J30" s="3">
        <v>45</v>
      </c>
      <c r="K30" s="3">
        <v>45.2</v>
      </c>
      <c r="L30" s="3">
        <v>70</v>
      </c>
      <c r="M30" s="3"/>
      <c r="N30" s="3"/>
    </row>
    <row r="31" spans="1:14">
      <c r="A31" s="3">
        <v>2</v>
      </c>
      <c r="B31" s="3" t="s">
        <v>46</v>
      </c>
      <c r="C31" s="3">
        <v>2</v>
      </c>
      <c r="D31" s="3" t="s">
        <v>315</v>
      </c>
      <c r="E31" s="3" t="s">
        <v>316</v>
      </c>
      <c r="F31" s="3" t="s">
        <v>317</v>
      </c>
      <c r="G31" s="4">
        <f>Settings!$B$4+((A31-1)*(Settings!$B$5+Settings!$B$6)/1440)</f>
        <v>4.1666666666666664E-2</v>
      </c>
      <c r="H31" s="4">
        <f>G31+(Settings!$B$5/1440)</f>
        <v>6.25E-2</v>
      </c>
      <c r="I31" s="3" t="s">
        <v>236</v>
      </c>
      <c r="J31" s="3">
        <v>45</v>
      </c>
      <c r="K31" s="3">
        <v>45.2</v>
      </c>
      <c r="L31" s="3">
        <v>70</v>
      </c>
      <c r="M31" s="3"/>
      <c r="N31" s="3"/>
    </row>
    <row r="32" spans="1:14">
      <c r="A32" s="3">
        <v>3</v>
      </c>
      <c r="B32" s="3" t="s">
        <v>23</v>
      </c>
      <c r="C32" s="3">
        <v>3</v>
      </c>
      <c r="D32" s="3" t="s">
        <v>318</v>
      </c>
      <c r="E32" s="3" t="s">
        <v>319</v>
      </c>
      <c r="F32" s="3" t="s">
        <v>320</v>
      </c>
      <c r="G32" s="4">
        <f>Settings!$B$4+((A32-1)*(Settings!$B$5+Settings!$B$6)/1440)</f>
        <v>8.3333333333333329E-2</v>
      </c>
      <c r="H32" s="4">
        <f>G32+(Settings!$B$5/1440)</f>
        <v>0.10416666666666666</v>
      </c>
      <c r="I32" s="3" t="s">
        <v>236</v>
      </c>
      <c r="J32" s="3">
        <v>45</v>
      </c>
      <c r="K32" s="3">
        <v>45.2</v>
      </c>
      <c r="L32" s="3">
        <v>70</v>
      </c>
      <c r="M32" s="3"/>
      <c r="N32" s="3"/>
    </row>
    <row r="33" spans="1:14">
      <c r="A33" s="3">
        <v>3</v>
      </c>
      <c r="B33" s="3" t="s">
        <v>26</v>
      </c>
      <c r="C33" s="3">
        <v>3</v>
      </c>
      <c r="D33" s="3" t="s">
        <v>321</v>
      </c>
      <c r="E33" s="3" t="s">
        <v>322</v>
      </c>
      <c r="F33" s="3" t="s">
        <v>323</v>
      </c>
      <c r="G33" s="4">
        <f>Settings!$B$4+((A33-1)*(Settings!$B$5+Settings!$B$6)/1440)</f>
        <v>8.3333333333333329E-2</v>
      </c>
      <c r="H33" s="4">
        <f>G33+(Settings!$B$5/1440)</f>
        <v>0.10416666666666666</v>
      </c>
      <c r="I33" s="3" t="s">
        <v>236</v>
      </c>
      <c r="J33" s="3">
        <v>45</v>
      </c>
      <c r="K33" s="3">
        <v>45.2</v>
      </c>
      <c r="L33" s="3">
        <v>70</v>
      </c>
      <c r="M33" s="3"/>
      <c r="N33" s="3"/>
    </row>
    <row r="34" spans="1:14">
      <c r="A34" s="3">
        <v>3</v>
      </c>
      <c r="B34" s="3" t="s">
        <v>29</v>
      </c>
      <c r="C34" s="3">
        <v>3</v>
      </c>
      <c r="D34" s="3" t="s">
        <v>324</v>
      </c>
      <c r="E34" s="3" t="s">
        <v>325</v>
      </c>
      <c r="F34" s="3" t="s">
        <v>326</v>
      </c>
      <c r="G34" s="4">
        <f>Settings!$B$4+((A34-1)*(Settings!$B$5+Settings!$B$6)/1440)</f>
        <v>8.3333333333333329E-2</v>
      </c>
      <c r="H34" s="4">
        <f>G34+(Settings!$B$5/1440)</f>
        <v>0.10416666666666666</v>
      </c>
      <c r="I34" s="3" t="s">
        <v>236</v>
      </c>
      <c r="J34" s="3">
        <v>45</v>
      </c>
      <c r="K34" s="3">
        <v>45.2</v>
      </c>
      <c r="L34" s="3">
        <v>70</v>
      </c>
      <c r="M34" s="3"/>
      <c r="N34" s="3"/>
    </row>
    <row r="35" spans="1:14">
      <c r="A35" s="3">
        <v>3</v>
      </c>
      <c r="B35" s="3" t="s">
        <v>32</v>
      </c>
      <c r="C35" s="3">
        <v>3</v>
      </c>
      <c r="D35" s="3" t="s">
        <v>327</v>
      </c>
      <c r="E35" s="3" t="s">
        <v>328</v>
      </c>
      <c r="F35" s="3" t="s">
        <v>329</v>
      </c>
      <c r="G35" s="4">
        <f>Settings!$B$4+((A35-1)*(Settings!$B$5+Settings!$B$6)/1440)</f>
        <v>8.3333333333333329E-2</v>
      </c>
      <c r="H35" s="4">
        <f>G35+(Settings!$B$5/1440)</f>
        <v>0.10416666666666666</v>
      </c>
      <c r="I35" s="3" t="s">
        <v>236</v>
      </c>
      <c r="J35" s="3">
        <v>45</v>
      </c>
      <c r="K35" s="3">
        <v>45.2</v>
      </c>
      <c r="L35" s="3">
        <v>70</v>
      </c>
      <c r="M35" s="3"/>
      <c r="N35" s="3"/>
    </row>
    <row r="36" spans="1:14">
      <c r="A36" s="3">
        <v>3</v>
      </c>
      <c r="B36" s="3" t="s">
        <v>35</v>
      </c>
      <c r="C36" s="3">
        <v>3</v>
      </c>
      <c r="D36" s="3" t="s">
        <v>330</v>
      </c>
      <c r="E36" s="3" t="s">
        <v>331</v>
      </c>
      <c r="F36" s="3" t="s">
        <v>332</v>
      </c>
      <c r="G36" s="4">
        <f>Settings!$B$4+((A36-1)*(Settings!$B$5+Settings!$B$6)/1440)</f>
        <v>8.3333333333333329E-2</v>
      </c>
      <c r="H36" s="4">
        <f>G36+(Settings!$B$5/1440)</f>
        <v>0.10416666666666666</v>
      </c>
      <c r="I36" s="3" t="s">
        <v>236</v>
      </c>
      <c r="J36" s="3">
        <v>45</v>
      </c>
      <c r="K36" s="3">
        <v>45.2</v>
      </c>
      <c r="L36" s="3">
        <v>70</v>
      </c>
      <c r="M36" s="3"/>
      <c r="N36" s="3"/>
    </row>
    <row r="37" spans="1:14">
      <c r="A37" s="3">
        <v>3</v>
      </c>
      <c r="B37" s="3" t="s">
        <v>38</v>
      </c>
      <c r="C37" s="3">
        <v>3</v>
      </c>
      <c r="D37" s="3" t="s">
        <v>333</v>
      </c>
      <c r="E37" s="3" t="s">
        <v>334</v>
      </c>
      <c r="F37" s="3" t="s">
        <v>335</v>
      </c>
      <c r="G37" s="4">
        <f>Settings!$B$4+((A37-1)*(Settings!$B$5+Settings!$B$6)/1440)</f>
        <v>8.3333333333333329E-2</v>
      </c>
      <c r="H37" s="4">
        <f>G37+(Settings!$B$5/1440)</f>
        <v>0.10416666666666666</v>
      </c>
      <c r="I37" s="3" t="s">
        <v>236</v>
      </c>
      <c r="J37" s="3">
        <v>45</v>
      </c>
      <c r="K37" s="3">
        <v>45.2</v>
      </c>
      <c r="L37" s="3">
        <v>70</v>
      </c>
      <c r="M37" s="3"/>
      <c r="N37" s="3"/>
    </row>
    <row r="38" spans="1:14">
      <c r="A38" s="3">
        <v>3</v>
      </c>
      <c r="B38" s="3" t="s">
        <v>39</v>
      </c>
      <c r="C38" s="3">
        <v>3</v>
      </c>
      <c r="D38" s="3" t="s">
        <v>336</v>
      </c>
      <c r="E38" s="3" t="s">
        <v>337</v>
      </c>
      <c r="F38" s="3" t="s">
        <v>338</v>
      </c>
      <c r="G38" s="4">
        <f>Settings!$B$4+((A38-1)*(Settings!$B$5+Settings!$B$6)/1440)</f>
        <v>8.3333333333333329E-2</v>
      </c>
      <c r="H38" s="4">
        <f>G38+(Settings!$B$5/1440)</f>
        <v>0.10416666666666666</v>
      </c>
      <c r="I38" s="3" t="s">
        <v>236</v>
      </c>
      <c r="J38" s="3">
        <v>45</v>
      </c>
      <c r="K38" s="3">
        <v>45.2</v>
      </c>
      <c r="L38" s="3">
        <v>70</v>
      </c>
      <c r="M38" s="3"/>
      <c r="N38" s="3"/>
    </row>
    <row r="39" spans="1:14">
      <c r="A39" s="3">
        <v>3</v>
      </c>
      <c r="B39" s="3" t="s">
        <v>40</v>
      </c>
      <c r="C39" s="3">
        <v>3</v>
      </c>
      <c r="D39" s="3" t="s">
        <v>339</v>
      </c>
      <c r="E39" s="3" t="s">
        <v>340</v>
      </c>
      <c r="F39" s="3" t="s">
        <v>341</v>
      </c>
      <c r="G39" s="4">
        <f>Settings!$B$4+((A39-1)*(Settings!$B$5+Settings!$B$6)/1440)</f>
        <v>8.3333333333333329E-2</v>
      </c>
      <c r="H39" s="4">
        <f>G39+(Settings!$B$5/1440)</f>
        <v>0.10416666666666666</v>
      </c>
      <c r="I39" s="3" t="s">
        <v>236</v>
      </c>
      <c r="J39" s="3">
        <v>45</v>
      </c>
      <c r="K39" s="3">
        <v>45.2</v>
      </c>
      <c r="L39" s="3">
        <v>70</v>
      </c>
      <c r="M39" s="3"/>
      <c r="N39" s="3"/>
    </row>
    <row r="40" spans="1:14">
      <c r="A40" s="3">
        <v>3</v>
      </c>
      <c r="B40" s="3" t="s">
        <v>41</v>
      </c>
      <c r="C40" s="3">
        <v>3</v>
      </c>
      <c r="D40" s="3" t="s">
        <v>342</v>
      </c>
      <c r="E40" s="3" t="s">
        <v>343</v>
      </c>
      <c r="F40" s="3" t="s">
        <v>344</v>
      </c>
      <c r="G40" s="4">
        <f>Settings!$B$4+((A40-1)*(Settings!$B$5+Settings!$B$6)/1440)</f>
        <v>8.3333333333333329E-2</v>
      </c>
      <c r="H40" s="4">
        <f>G40+(Settings!$B$5/1440)</f>
        <v>0.10416666666666666</v>
      </c>
      <c r="I40" s="3" t="s">
        <v>236</v>
      </c>
      <c r="J40" s="3">
        <v>45</v>
      </c>
      <c r="K40" s="3">
        <v>45.2</v>
      </c>
      <c r="L40" s="3">
        <v>70</v>
      </c>
      <c r="M40" s="3"/>
      <c r="N40" s="3"/>
    </row>
    <row r="41" spans="1:14">
      <c r="A41" s="3">
        <v>3</v>
      </c>
      <c r="B41" s="3" t="s">
        <v>42</v>
      </c>
      <c r="C41" s="3">
        <v>3</v>
      </c>
      <c r="D41" s="3" t="s">
        <v>345</v>
      </c>
      <c r="E41" s="3" t="s">
        <v>346</v>
      </c>
      <c r="F41" s="3" t="s">
        <v>347</v>
      </c>
      <c r="G41" s="4">
        <f>Settings!$B$4+((A41-1)*(Settings!$B$5+Settings!$B$6)/1440)</f>
        <v>8.3333333333333329E-2</v>
      </c>
      <c r="H41" s="4">
        <f>G41+(Settings!$B$5/1440)</f>
        <v>0.10416666666666666</v>
      </c>
      <c r="I41" s="3" t="s">
        <v>236</v>
      </c>
      <c r="J41" s="3">
        <v>45</v>
      </c>
      <c r="K41" s="3">
        <v>45.2</v>
      </c>
      <c r="L41" s="3">
        <v>70</v>
      </c>
      <c r="M41" s="3"/>
      <c r="N41" s="3"/>
    </row>
    <row r="42" spans="1:14">
      <c r="A42" s="3">
        <v>3</v>
      </c>
      <c r="B42" s="3" t="s">
        <v>43</v>
      </c>
      <c r="C42" s="3">
        <v>3</v>
      </c>
      <c r="D42" s="3" t="s">
        <v>348</v>
      </c>
      <c r="E42" s="3" t="s">
        <v>349</v>
      </c>
      <c r="F42" s="3" t="s">
        <v>350</v>
      </c>
      <c r="G42" s="4">
        <f>Settings!$B$4+((A42-1)*(Settings!$B$5+Settings!$B$6)/1440)</f>
        <v>8.3333333333333329E-2</v>
      </c>
      <c r="H42" s="4">
        <f>G42+(Settings!$B$5/1440)</f>
        <v>0.10416666666666666</v>
      </c>
      <c r="I42" s="3" t="s">
        <v>236</v>
      </c>
      <c r="J42" s="3">
        <v>45</v>
      </c>
      <c r="K42" s="3">
        <v>45.2</v>
      </c>
      <c r="L42" s="3">
        <v>70</v>
      </c>
      <c r="M42" s="3"/>
      <c r="N42" s="3"/>
    </row>
    <row r="43" spans="1:14">
      <c r="A43" s="3">
        <v>3</v>
      </c>
      <c r="B43" s="3" t="s">
        <v>44</v>
      </c>
      <c r="C43" s="3">
        <v>3</v>
      </c>
      <c r="D43" s="3" t="s">
        <v>351</v>
      </c>
      <c r="E43" s="3" t="s">
        <v>352</v>
      </c>
      <c r="F43" s="3" t="s">
        <v>353</v>
      </c>
      <c r="G43" s="4">
        <f>Settings!$B$4+((A43-1)*(Settings!$B$5+Settings!$B$6)/1440)</f>
        <v>8.3333333333333329E-2</v>
      </c>
      <c r="H43" s="4">
        <f>G43+(Settings!$B$5/1440)</f>
        <v>0.10416666666666666</v>
      </c>
      <c r="I43" s="3" t="s">
        <v>236</v>
      </c>
      <c r="J43" s="3">
        <v>45</v>
      </c>
      <c r="K43" s="3">
        <v>45.2</v>
      </c>
      <c r="L43" s="3">
        <v>70</v>
      </c>
      <c r="M43" s="3"/>
      <c r="N43" s="3"/>
    </row>
    <row r="44" spans="1:14">
      <c r="A44" s="3">
        <v>3</v>
      </c>
      <c r="B44" s="3" t="s">
        <v>45</v>
      </c>
      <c r="C44" s="3">
        <v>3</v>
      </c>
      <c r="D44" s="3" t="s">
        <v>354</v>
      </c>
      <c r="E44" s="3" t="s">
        <v>355</v>
      </c>
      <c r="F44" s="3" t="s">
        <v>356</v>
      </c>
      <c r="G44" s="4">
        <f>Settings!$B$4+((A44-1)*(Settings!$B$5+Settings!$B$6)/1440)</f>
        <v>8.3333333333333329E-2</v>
      </c>
      <c r="H44" s="4">
        <f>G44+(Settings!$B$5/1440)</f>
        <v>0.10416666666666666</v>
      </c>
      <c r="I44" s="3" t="s">
        <v>236</v>
      </c>
      <c r="J44" s="3">
        <v>45</v>
      </c>
      <c r="K44" s="3">
        <v>45.2</v>
      </c>
      <c r="L44" s="3">
        <v>70</v>
      </c>
      <c r="M44" s="3"/>
      <c r="N44" s="3"/>
    </row>
    <row r="45" spans="1:14">
      <c r="A45" s="3">
        <v>3</v>
      </c>
      <c r="B45" s="3" t="s">
        <v>46</v>
      </c>
      <c r="C45" s="3">
        <v>3</v>
      </c>
      <c r="D45" s="3" t="s">
        <v>357</v>
      </c>
      <c r="E45" s="3" t="s">
        <v>358</v>
      </c>
      <c r="F45" s="3" t="s">
        <v>359</v>
      </c>
      <c r="G45" s="4">
        <f>Settings!$B$4+((A45-1)*(Settings!$B$5+Settings!$B$6)/1440)</f>
        <v>8.3333333333333329E-2</v>
      </c>
      <c r="H45" s="4">
        <f>G45+(Settings!$B$5/1440)</f>
        <v>0.10416666666666666</v>
      </c>
      <c r="I45" s="3" t="s">
        <v>236</v>
      </c>
      <c r="J45" s="3">
        <v>45</v>
      </c>
      <c r="K45" s="3">
        <v>45.2</v>
      </c>
      <c r="L45" s="3">
        <v>70</v>
      </c>
      <c r="M45" s="3"/>
      <c r="N45" s="3"/>
    </row>
    <row r="46" spans="1:14">
      <c r="A46" s="3">
        <v>4</v>
      </c>
      <c r="B46" s="3" t="s">
        <v>23</v>
      </c>
      <c r="C46" s="3">
        <v>4</v>
      </c>
      <c r="D46" s="3" t="s">
        <v>360</v>
      </c>
      <c r="E46" s="3" t="s">
        <v>361</v>
      </c>
      <c r="F46" s="3" t="s">
        <v>362</v>
      </c>
      <c r="G46" s="4">
        <f>Settings!$B$4+((A46-1)*(Settings!$B$5+Settings!$B$6)/1440)</f>
        <v>0.125</v>
      </c>
      <c r="H46" s="4">
        <f>G46+(Settings!$B$5/1440)</f>
        <v>0.14583333333333334</v>
      </c>
      <c r="I46" s="3" t="s">
        <v>236</v>
      </c>
      <c r="J46" s="3">
        <v>45</v>
      </c>
      <c r="K46" s="3">
        <v>45.2</v>
      </c>
      <c r="L46" s="3">
        <v>70</v>
      </c>
      <c r="M46" s="3"/>
      <c r="N46" s="3"/>
    </row>
    <row r="47" spans="1:14">
      <c r="A47" s="3">
        <v>4</v>
      </c>
      <c r="B47" s="3" t="s">
        <v>26</v>
      </c>
      <c r="C47" s="3">
        <v>4</v>
      </c>
      <c r="D47" s="3" t="s">
        <v>363</v>
      </c>
      <c r="E47" s="3" t="s">
        <v>364</v>
      </c>
      <c r="F47" s="3" t="s">
        <v>365</v>
      </c>
      <c r="G47" s="4">
        <f>Settings!$B$4+((A47-1)*(Settings!$B$5+Settings!$B$6)/1440)</f>
        <v>0.125</v>
      </c>
      <c r="H47" s="4">
        <f>G47+(Settings!$B$5/1440)</f>
        <v>0.14583333333333334</v>
      </c>
      <c r="I47" s="3" t="s">
        <v>236</v>
      </c>
      <c r="J47" s="3">
        <v>45</v>
      </c>
      <c r="K47" s="3">
        <v>45.2</v>
      </c>
      <c r="L47" s="3">
        <v>70</v>
      </c>
      <c r="M47" s="3"/>
      <c r="N47" s="3"/>
    </row>
    <row r="48" spans="1:14">
      <c r="A48" s="3">
        <v>4</v>
      </c>
      <c r="B48" s="3" t="s">
        <v>29</v>
      </c>
      <c r="C48" s="3">
        <v>4</v>
      </c>
      <c r="D48" s="3" t="s">
        <v>366</v>
      </c>
      <c r="E48" s="3" t="s">
        <v>367</v>
      </c>
      <c r="F48" s="3" t="s">
        <v>368</v>
      </c>
      <c r="G48" s="4">
        <f>Settings!$B$4+((A48-1)*(Settings!$B$5+Settings!$B$6)/1440)</f>
        <v>0.125</v>
      </c>
      <c r="H48" s="4">
        <f>G48+(Settings!$B$5/1440)</f>
        <v>0.14583333333333334</v>
      </c>
      <c r="I48" s="3" t="s">
        <v>236</v>
      </c>
      <c r="J48" s="3">
        <v>45</v>
      </c>
      <c r="K48" s="3">
        <v>45.2</v>
      </c>
      <c r="L48" s="3">
        <v>70</v>
      </c>
      <c r="M48" s="3"/>
      <c r="N48" s="3"/>
    </row>
    <row r="49" spans="1:14">
      <c r="A49" s="3">
        <v>4</v>
      </c>
      <c r="B49" s="3" t="s">
        <v>32</v>
      </c>
      <c r="C49" s="3">
        <v>4</v>
      </c>
      <c r="D49" s="3" t="s">
        <v>369</v>
      </c>
      <c r="E49" s="3" t="s">
        <v>370</v>
      </c>
      <c r="F49" s="3" t="s">
        <v>371</v>
      </c>
      <c r="G49" s="4">
        <f>Settings!$B$4+((A49-1)*(Settings!$B$5+Settings!$B$6)/1440)</f>
        <v>0.125</v>
      </c>
      <c r="H49" s="4">
        <f>G49+(Settings!$B$5/1440)</f>
        <v>0.14583333333333334</v>
      </c>
      <c r="I49" s="3" t="s">
        <v>236</v>
      </c>
      <c r="J49" s="3">
        <v>45</v>
      </c>
      <c r="K49" s="3">
        <v>45.2</v>
      </c>
      <c r="L49" s="3">
        <v>70</v>
      </c>
      <c r="M49" s="3"/>
      <c r="N49" s="3"/>
    </row>
    <row r="50" spans="1:14">
      <c r="A50" s="3">
        <v>4</v>
      </c>
      <c r="B50" s="3" t="s">
        <v>35</v>
      </c>
      <c r="C50" s="3">
        <v>4</v>
      </c>
      <c r="D50" s="3" t="s">
        <v>372</v>
      </c>
      <c r="E50" s="3" t="s">
        <v>373</v>
      </c>
      <c r="F50" s="3" t="s">
        <v>374</v>
      </c>
      <c r="G50" s="4">
        <f>Settings!$B$4+((A50-1)*(Settings!$B$5+Settings!$B$6)/1440)</f>
        <v>0.125</v>
      </c>
      <c r="H50" s="4">
        <f>G50+(Settings!$B$5/1440)</f>
        <v>0.14583333333333334</v>
      </c>
      <c r="I50" s="3" t="s">
        <v>236</v>
      </c>
      <c r="J50" s="3">
        <v>45</v>
      </c>
      <c r="K50" s="3">
        <v>45.2</v>
      </c>
      <c r="L50" s="3">
        <v>70</v>
      </c>
      <c r="M50" s="3"/>
      <c r="N50" s="3"/>
    </row>
    <row r="51" spans="1:14">
      <c r="A51" s="3">
        <v>4</v>
      </c>
      <c r="B51" s="3" t="s">
        <v>38</v>
      </c>
      <c r="C51" s="3">
        <v>4</v>
      </c>
      <c r="D51" s="3" t="s">
        <v>375</v>
      </c>
      <c r="E51" s="3" t="s">
        <v>376</v>
      </c>
      <c r="F51" s="3" t="s">
        <v>377</v>
      </c>
      <c r="G51" s="4">
        <f>Settings!$B$4+((A51-1)*(Settings!$B$5+Settings!$B$6)/1440)</f>
        <v>0.125</v>
      </c>
      <c r="H51" s="4">
        <f>G51+(Settings!$B$5/1440)</f>
        <v>0.14583333333333334</v>
      </c>
      <c r="I51" s="3" t="s">
        <v>236</v>
      </c>
      <c r="J51" s="3">
        <v>45</v>
      </c>
      <c r="K51" s="3">
        <v>45.2</v>
      </c>
      <c r="L51" s="3">
        <v>70</v>
      </c>
      <c r="M51" s="3"/>
      <c r="N51" s="3"/>
    </row>
    <row r="52" spans="1:14">
      <c r="A52" s="3">
        <v>4</v>
      </c>
      <c r="B52" s="3" t="s">
        <v>39</v>
      </c>
      <c r="C52" s="3">
        <v>4</v>
      </c>
      <c r="D52" s="3" t="s">
        <v>378</v>
      </c>
      <c r="E52" s="3" t="s">
        <v>379</v>
      </c>
      <c r="F52" s="3" t="s">
        <v>380</v>
      </c>
      <c r="G52" s="4">
        <f>Settings!$B$4+((A52-1)*(Settings!$B$5+Settings!$B$6)/1440)</f>
        <v>0.125</v>
      </c>
      <c r="H52" s="4">
        <f>G52+(Settings!$B$5/1440)</f>
        <v>0.14583333333333334</v>
      </c>
      <c r="I52" s="3" t="s">
        <v>236</v>
      </c>
      <c r="J52" s="3">
        <v>45</v>
      </c>
      <c r="K52" s="3">
        <v>45.2</v>
      </c>
      <c r="L52" s="3">
        <v>70</v>
      </c>
      <c r="M52" s="3"/>
      <c r="N52" s="3"/>
    </row>
    <row r="53" spans="1:14">
      <c r="A53" s="3">
        <v>4</v>
      </c>
      <c r="B53" s="3" t="s">
        <v>40</v>
      </c>
      <c r="C53" s="3">
        <v>4</v>
      </c>
      <c r="D53" s="3" t="s">
        <v>381</v>
      </c>
      <c r="E53" s="3" t="s">
        <v>382</v>
      </c>
      <c r="F53" s="3" t="s">
        <v>383</v>
      </c>
      <c r="G53" s="4">
        <f>Settings!$B$4+((A53-1)*(Settings!$B$5+Settings!$B$6)/1440)</f>
        <v>0.125</v>
      </c>
      <c r="H53" s="4">
        <f>G53+(Settings!$B$5/1440)</f>
        <v>0.14583333333333334</v>
      </c>
      <c r="I53" s="3" t="s">
        <v>236</v>
      </c>
      <c r="J53" s="3">
        <v>45</v>
      </c>
      <c r="K53" s="3">
        <v>45.2</v>
      </c>
      <c r="L53" s="3">
        <v>70</v>
      </c>
      <c r="M53" s="3"/>
      <c r="N53" s="3"/>
    </row>
    <row r="54" spans="1:14">
      <c r="A54" s="3">
        <v>4</v>
      </c>
      <c r="B54" s="3" t="s">
        <v>41</v>
      </c>
      <c r="C54" s="3">
        <v>4</v>
      </c>
      <c r="D54" s="3" t="s">
        <v>384</v>
      </c>
      <c r="E54" s="3" t="s">
        <v>385</v>
      </c>
      <c r="F54" s="3" t="s">
        <v>386</v>
      </c>
      <c r="G54" s="4">
        <f>Settings!$B$4+((A54-1)*(Settings!$B$5+Settings!$B$6)/1440)</f>
        <v>0.125</v>
      </c>
      <c r="H54" s="4">
        <f>G54+(Settings!$B$5/1440)</f>
        <v>0.14583333333333334</v>
      </c>
      <c r="I54" s="3" t="s">
        <v>236</v>
      </c>
      <c r="J54" s="3">
        <v>45</v>
      </c>
      <c r="K54" s="3">
        <v>45.2</v>
      </c>
      <c r="L54" s="3">
        <v>70</v>
      </c>
      <c r="M54" s="3"/>
      <c r="N54" s="3"/>
    </row>
    <row r="55" spans="1:14">
      <c r="A55" s="3">
        <v>4</v>
      </c>
      <c r="B55" s="3" t="s">
        <v>42</v>
      </c>
      <c r="C55" s="3">
        <v>4</v>
      </c>
      <c r="D55" s="3" t="s">
        <v>387</v>
      </c>
      <c r="E55" s="3" t="s">
        <v>388</v>
      </c>
      <c r="F55" s="3" t="s">
        <v>389</v>
      </c>
      <c r="G55" s="4">
        <f>Settings!$B$4+((A55-1)*(Settings!$B$5+Settings!$B$6)/1440)</f>
        <v>0.125</v>
      </c>
      <c r="H55" s="4">
        <f>G55+(Settings!$B$5/1440)</f>
        <v>0.14583333333333334</v>
      </c>
      <c r="I55" s="3" t="s">
        <v>236</v>
      </c>
      <c r="J55" s="3">
        <v>45</v>
      </c>
      <c r="K55" s="3">
        <v>45.2</v>
      </c>
      <c r="L55" s="3">
        <v>70</v>
      </c>
      <c r="M55" s="3"/>
      <c r="N55" s="3"/>
    </row>
    <row r="56" spans="1:14">
      <c r="A56" s="3">
        <v>4</v>
      </c>
      <c r="B56" s="3" t="s">
        <v>43</v>
      </c>
      <c r="C56" s="3">
        <v>4</v>
      </c>
      <c r="D56" s="3" t="s">
        <v>390</v>
      </c>
      <c r="E56" s="3" t="s">
        <v>391</v>
      </c>
      <c r="F56" s="3" t="s">
        <v>392</v>
      </c>
      <c r="G56" s="4">
        <f>Settings!$B$4+((A56-1)*(Settings!$B$5+Settings!$B$6)/1440)</f>
        <v>0.125</v>
      </c>
      <c r="H56" s="4">
        <f>G56+(Settings!$B$5/1440)</f>
        <v>0.14583333333333334</v>
      </c>
      <c r="I56" s="3" t="s">
        <v>236</v>
      </c>
      <c r="J56" s="3">
        <v>45</v>
      </c>
      <c r="K56" s="3">
        <v>45.2</v>
      </c>
      <c r="L56" s="3">
        <v>70</v>
      </c>
      <c r="M56" s="3"/>
      <c r="N56" s="3"/>
    </row>
    <row r="57" spans="1:14">
      <c r="A57" s="3">
        <v>4</v>
      </c>
      <c r="B57" s="3" t="s">
        <v>44</v>
      </c>
      <c r="C57" s="3">
        <v>4</v>
      </c>
      <c r="D57" s="3" t="s">
        <v>393</v>
      </c>
      <c r="E57" s="3" t="s">
        <v>394</v>
      </c>
      <c r="F57" s="3" t="s">
        <v>395</v>
      </c>
      <c r="G57" s="4">
        <f>Settings!$B$4+((A57-1)*(Settings!$B$5+Settings!$B$6)/1440)</f>
        <v>0.125</v>
      </c>
      <c r="H57" s="4">
        <f>G57+(Settings!$B$5/1440)</f>
        <v>0.14583333333333334</v>
      </c>
      <c r="I57" s="3" t="s">
        <v>236</v>
      </c>
      <c r="J57" s="3">
        <v>45</v>
      </c>
      <c r="K57" s="3">
        <v>45.2</v>
      </c>
      <c r="L57" s="3">
        <v>70</v>
      </c>
      <c r="M57" s="3"/>
      <c r="N57" s="3"/>
    </row>
    <row r="58" spans="1:14">
      <c r="A58" s="3">
        <v>4</v>
      </c>
      <c r="B58" s="3" t="s">
        <v>45</v>
      </c>
      <c r="C58" s="3">
        <v>4</v>
      </c>
      <c r="D58" s="3" t="s">
        <v>396</v>
      </c>
      <c r="E58" s="3" t="s">
        <v>397</v>
      </c>
      <c r="F58" s="3" t="s">
        <v>398</v>
      </c>
      <c r="G58" s="4">
        <f>Settings!$B$4+((A58-1)*(Settings!$B$5+Settings!$B$6)/1440)</f>
        <v>0.125</v>
      </c>
      <c r="H58" s="4">
        <f>G58+(Settings!$B$5/1440)</f>
        <v>0.14583333333333334</v>
      </c>
      <c r="I58" s="3" t="s">
        <v>236</v>
      </c>
      <c r="J58" s="3">
        <v>45</v>
      </c>
      <c r="K58" s="3">
        <v>45.2</v>
      </c>
      <c r="L58" s="3">
        <v>70</v>
      </c>
      <c r="M58" s="3"/>
      <c r="N58" s="3"/>
    </row>
    <row r="59" spans="1:14">
      <c r="A59" s="3">
        <v>4</v>
      </c>
      <c r="B59" s="3" t="s">
        <v>46</v>
      </c>
      <c r="C59" s="3">
        <v>4</v>
      </c>
      <c r="D59" s="3" t="s">
        <v>399</v>
      </c>
      <c r="E59" s="3" t="s">
        <v>400</v>
      </c>
      <c r="F59" s="3" t="s">
        <v>401</v>
      </c>
      <c r="G59" s="4">
        <f>Settings!$B$4+((A59-1)*(Settings!$B$5+Settings!$B$6)/1440)</f>
        <v>0.125</v>
      </c>
      <c r="H59" s="4">
        <f>G59+(Settings!$B$5/1440)</f>
        <v>0.14583333333333334</v>
      </c>
      <c r="I59" s="3" t="s">
        <v>236</v>
      </c>
      <c r="J59" s="3">
        <v>45</v>
      </c>
      <c r="K59" s="3">
        <v>45.2</v>
      </c>
      <c r="L59" s="3">
        <v>70</v>
      </c>
      <c r="M59" s="3"/>
      <c r="N59" s="3"/>
    </row>
    <row r="60" spans="1:14">
      <c r="A60" s="3">
        <v>5</v>
      </c>
      <c r="B60" s="3" t="s">
        <v>23</v>
      </c>
      <c r="C60" s="3">
        <v>5</v>
      </c>
      <c r="D60" s="3" t="s">
        <v>402</v>
      </c>
      <c r="E60" s="3" t="s">
        <v>403</v>
      </c>
      <c r="F60" s="3" t="s">
        <v>404</v>
      </c>
      <c r="G60" s="4">
        <f>Settings!$B$4+((A60-1)*(Settings!$B$5+Settings!$B$6)/1440)</f>
        <v>0.16666666666666666</v>
      </c>
      <c r="H60" s="4">
        <f>G60+(Settings!$B$5/1440)</f>
        <v>0.1875</v>
      </c>
      <c r="I60" s="3" t="s">
        <v>236</v>
      </c>
      <c r="J60" s="3">
        <v>45</v>
      </c>
      <c r="K60" s="3">
        <v>45.2</v>
      </c>
      <c r="L60" s="3">
        <v>70</v>
      </c>
      <c r="M60" s="3"/>
      <c r="N60" s="3"/>
    </row>
    <row r="61" spans="1:14">
      <c r="A61" s="3">
        <v>5</v>
      </c>
      <c r="B61" s="3" t="s">
        <v>26</v>
      </c>
      <c r="C61" s="3">
        <v>5</v>
      </c>
      <c r="D61" s="3" t="s">
        <v>405</v>
      </c>
      <c r="E61" s="3" t="s">
        <v>406</v>
      </c>
      <c r="F61" s="3" t="s">
        <v>407</v>
      </c>
      <c r="G61" s="4">
        <f>Settings!$B$4+((A61-1)*(Settings!$B$5+Settings!$B$6)/1440)</f>
        <v>0.16666666666666666</v>
      </c>
      <c r="H61" s="4">
        <f>G61+(Settings!$B$5/1440)</f>
        <v>0.1875</v>
      </c>
      <c r="I61" s="3" t="s">
        <v>236</v>
      </c>
      <c r="J61" s="3">
        <v>45</v>
      </c>
      <c r="K61" s="3">
        <v>45.2</v>
      </c>
      <c r="L61" s="3">
        <v>70</v>
      </c>
      <c r="M61" s="3"/>
      <c r="N61" s="3"/>
    </row>
    <row r="62" spans="1:14">
      <c r="A62" s="3">
        <v>5</v>
      </c>
      <c r="B62" s="3" t="s">
        <v>29</v>
      </c>
      <c r="C62" s="3">
        <v>5</v>
      </c>
      <c r="D62" s="3" t="s">
        <v>408</v>
      </c>
      <c r="E62" s="3" t="s">
        <v>409</v>
      </c>
      <c r="F62" s="3" t="s">
        <v>410</v>
      </c>
      <c r="G62" s="4">
        <f>Settings!$B$4+((A62-1)*(Settings!$B$5+Settings!$B$6)/1440)</f>
        <v>0.16666666666666666</v>
      </c>
      <c r="H62" s="4">
        <f>G62+(Settings!$B$5/1440)</f>
        <v>0.1875</v>
      </c>
      <c r="I62" s="3" t="s">
        <v>236</v>
      </c>
      <c r="J62" s="3">
        <v>45</v>
      </c>
      <c r="K62" s="3">
        <v>45.2</v>
      </c>
      <c r="L62" s="3">
        <v>70</v>
      </c>
      <c r="M62" s="3"/>
      <c r="N62" s="3"/>
    </row>
    <row r="63" spans="1:14">
      <c r="A63" s="3">
        <v>5</v>
      </c>
      <c r="B63" s="3" t="s">
        <v>32</v>
      </c>
      <c r="C63" s="3">
        <v>5</v>
      </c>
      <c r="D63" s="3" t="s">
        <v>411</v>
      </c>
      <c r="E63" s="3" t="s">
        <v>412</v>
      </c>
      <c r="F63" s="3" t="s">
        <v>413</v>
      </c>
      <c r="G63" s="4">
        <f>Settings!$B$4+((A63-1)*(Settings!$B$5+Settings!$B$6)/1440)</f>
        <v>0.16666666666666666</v>
      </c>
      <c r="H63" s="4">
        <f>G63+(Settings!$B$5/1440)</f>
        <v>0.1875</v>
      </c>
      <c r="I63" s="3" t="s">
        <v>236</v>
      </c>
      <c r="J63" s="3">
        <v>45</v>
      </c>
      <c r="K63" s="3">
        <v>45.2</v>
      </c>
      <c r="L63" s="3">
        <v>70</v>
      </c>
      <c r="M63" s="3"/>
      <c r="N63" s="3"/>
    </row>
    <row r="64" spans="1:14">
      <c r="A64" s="3">
        <v>5</v>
      </c>
      <c r="B64" s="3" t="s">
        <v>35</v>
      </c>
      <c r="C64" s="3">
        <v>5</v>
      </c>
      <c r="D64" s="3" t="s">
        <v>414</v>
      </c>
      <c r="E64" s="3" t="s">
        <v>415</v>
      </c>
      <c r="F64" s="3" t="s">
        <v>416</v>
      </c>
      <c r="G64" s="4">
        <f>Settings!$B$4+((A64-1)*(Settings!$B$5+Settings!$B$6)/1440)</f>
        <v>0.16666666666666666</v>
      </c>
      <c r="H64" s="4">
        <f>G64+(Settings!$B$5/1440)</f>
        <v>0.1875</v>
      </c>
      <c r="I64" s="3" t="s">
        <v>236</v>
      </c>
      <c r="J64" s="3">
        <v>45</v>
      </c>
      <c r="K64" s="3">
        <v>45.2</v>
      </c>
      <c r="L64" s="3">
        <v>70</v>
      </c>
      <c r="M64" s="3"/>
      <c r="N64" s="3"/>
    </row>
    <row r="65" spans="1:14">
      <c r="A65" s="3">
        <v>5</v>
      </c>
      <c r="B65" s="3" t="s">
        <v>38</v>
      </c>
      <c r="C65" s="3">
        <v>5</v>
      </c>
      <c r="D65" s="3" t="s">
        <v>417</v>
      </c>
      <c r="E65" s="3" t="s">
        <v>418</v>
      </c>
      <c r="F65" s="3" t="s">
        <v>419</v>
      </c>
      <c r="G65" s="4">
        <f>Settings!$B$4+((A65-1)*(Settings!$B$5+Settings!$B$6)/1440)</f>
        <v>0.16666666666666666</v>
      </c>
      <c r="H65" s="4">
        <f>G65+(Settings!$B$5/1440)</f>
        <v>0.1875</v>
      </c>
      <c r="I65" s="3" t="s">
        <v>236</v>
      </c>
      <c r="J65" s="3">
        <v>45</v>
      </c>
      <c r="K65" s="3">
        <v>45.2</v>
      </c>
      <c r="L65" s="3">
        <v>70</v>
      </c>
      <c r="M65" s="3"/>
      <c r="N65" s="3"/>
    </row>
    <row r="66" spans="1:14">
      <c r="A66" s="3">
        <v>5</v>
      </c>
      <c r="B66" s="3" t="s">
        <v>39</v>
      </c>
      <c r="C66" s="3">
        <v>5</v>
      </c>
      <c r="D66" s="3" t="s">
        <v>420</v>
      </c>
      <c r="E66" s="3" t="s">
        <v>421</v>
      </c>
      <c r="F66" s="3" t="s">
        <v>422</v>
      </c>
      <c r="G66" s="4">
        <f>Settings!$B$4+((A66-1)*(Settings!$B$5+Settings!$B$6)/1440)</f>
        <v>0.16666666666666666</v>
      </c>
      <c r="H66" s="4">
        <f>G66+(Settings!$B$5/1440)</f>
        <v>0.1875</v>
      </c>
      <c r="I66" s="3" t="s">
        <v>236</v>
      </c>
      <c r="J66" s="3">
        <v>45</v>
      </c>
      <c r="K66" s="3">
        <v>45.2</v>
      </c>
      <c r="L66" s="3">
        <v>70</v>
      </c>
      <c r="M66" s="3"/>
      <c r="N66" s="3"/>
    </row>
    <row r="67" spans="1:14">
      <c r="A67" s="3">
        <v>5</v>
      </c>
      <c r="B67" s="3" t="s">
        <v>40</v>
      </c>
      <c r="C67" s="3">
        <v>5</v>
      </c>
      <c r="D67" s="3" t="s">
        <v>423</v>
      </c>
      <c r="E67" s="3" t="s">
        <v>424</v>
      </c>
      <c r="F67" s="3" t="s">
        <v>425</v>
      </c>
      <c r="G67" s="4">
        <f>Settings!$B$4+((A67-1)*(Settings!$B$5+Settings!$B$6)/1440)</f>
        <v>0.16666666666666666</v>
      </c>
      <c r="H67" s="4">
        <f>G67+(Settings!$B$5/1440)</f>
        <v>0.1875</v>
      </c>
      <c r="I67" s="3" t="s">
        <v>236</v>
      </c>
      <c r="J67" s="3">
        <v>45</v>
      </c>
      <c r="K67" s="3">
        <v>45.2</v>
      </c>
      <c r="L67" s="3">
        <v>70</v>
      </c>
      <c r="M67" s="3"/>
      <c r="N67" s="3"/>
    </row>
    <row r="68" spans="1:14">
      <c r="A68" s="3">
        <v>5</v>
      </c>
      <c r="B68" s="3" t="s">
        <v>41</v>
      </c>
      <c r="C68" s="3">
        <v>5</v>
      </c>
      <c r="D68" s="3" t="s">
        <v>426</v>
      </c>
      <c r="E68" s="3" t="s">
        <v>427</v>
      </c>
      <c r="F68" s="3" t="s">
        <v>428</v>
      </c>
      <c r="G68" s="4">
        <f>Settings!$B$4+((A68-1)*(Settings!$B$5+Settings!$B$6)/1440)</f>
        <v>0.16666666666666666</v>
      </c>
      <c r="H68" s="4">
        <f>G68+(Settings!$B$5/1440)</f>
        <v>0.1875</v>
      </c>
      <c r="I68" s="3" t="s">
        <v>236</v>
      </c>
      <c r="J68" s="3">
        <v>45</v>
      </c>
      <c r="K68" s="3">
        <v>45.2</v>
      </c>
      <c r="L68" s="3">
        <v>70</v>
      </c>
      <c r="M68" s="3"/>
      <c r="N68" s="3"/>
    </row>
    <row r="69" spans="1:14">
      <c r="A69" s="3">
        <v>5</v>
      </c>
      <c r="B69" s="3" t="s">
        <v>42</v>
      </c>
      <c r="C69" s="3">
        <v>5</v>
      </c>
      <c r="D69" s="3" t="s">
        <v>429</v>
      </c>
      <c r="E69" s="3" t="s">
        <v>430</v>
      </c>
      <c r="F69" s="3" t="s">
        <v>431</v>
      </c>
      <c r="G69" s="4">
        <f>Settings!$B$4+((A69-1)*(Settings!$B$5+Settings!$B$6)/1440)</f>
        <v>0.16666666666666666</v>
      </c>
      <c r="H69" s="4">
        <f>G69+(Settings!$B$5/1440)</f>
        <v>0.1875</v>
      </c>
      <c r="I69" s="3" t="s">
        <v>236</v>
      </c>
      <c r="J69" s="3">
        <v>45</v>
      </c>
      <c r="K69" s="3">
        <v>45.2</v>
      </c>
      <c r="L69" s="3">
        <v>70</v>
      </c>
      <c r="M69" s="3"/>
      <c r="N69" s="3"/>
    </row>
    <row r="70" spans="1:14">
      <c r="A70" s="3">
        <v>5</v>
      </c>
      <c r="B70" s="3" t="s">
        <v>43</v>
      </c>
      <c r="C70" s="3">
        <v>5</v>
      </c>
      <c r="D70" s="3" t="s">
        <v>432</v>
      </c>
      <c r="E70" s="3" t="s">
        <v>433</v>
      </c>
      <c r="F70" s="3" t="s">
        <v>434</v>
      </c>
      <c r="G70" s="4">
        <f>Settings!$B$4+((A70-1)*(Settings!$B$5+Settings!$B$6)/1440)</f>
        <v>0.16666666666666666</v>
      </c>
      <c r="H70" s="4">
        <f>G70+(Settings!$B$5/1440)</f>
        <v>0.1875</v>
      </c>
      <c r="I70" s="3" t="s">
        <v>236</v>
      </c>
      <c r="J70" s="3">
        <v>45</v>
      </c>
      <c r="K70" s="3">
        <v>45.2</v>
      </c>
      <c r="L70" s="3">
        <v>70</v>
      </c>
      <c r="M70" s="3"/>
      <c r="N70" s="3"/>
    </row>
    <row r="71" spans="1:14">
      <c r="A71" s="3">
        <v>5</v>
      </c>
      <c r="B71" s="3" t="s">
        <v>44</v>
      </c>
      <c r="C71" s="3">
        <v>5</v>
      </c>
      <c r="D71" s="3" t="s">
        <v>435</v>
      </c>
      <c r="E71" s="3" t="s">
        <v>436</v>
      </c>
      <c r="F71" s="3" t="s">
        <v>437</v>
      </c>
      <c r="G71" s="4">
        <f>Settings!$B$4+((A71-1)*(Settings!$B$5+Settings!$B$6)/1440)</f>
        <v>0.16666666666666666</v>
      </c>
      <c r="H71" s="4">
        <f>G71+(Settings!$B$5/1440)</f>
        <v>0.1875</v>
      </c>
      <c r="I71" s="3" t="s">
        <v>236</v>
      </c>
      <c r="J71" s="3">
        <v>45</v>
      </c>
      <c r="K71" s="3">
        <v>45.2</v>
      </c>
      <c r="L71" s="3">
        <v>70</v>
      </c>
      <c r="M71" s="3"/>
      <c r="N71" s="3"/>
    </row>
    <row r="72" spans="1:14">
      <c r="A72" s="3">
        <v>5</v>
      </c>
      <c r="B72" s="3" t="s">
        <v>45</v>
      </c>
      <c r="C72" s="3">
        <v>5</v>
      </c>
      <c r="D72" s="3" t="s">
        <v>438</v>
      </c>
      <c r="E72" s="3" t="s">
        <v>439</v>
      </c>
      <c r="F72" s="3" t="s">
        <v>440</v>
      </c>
      <c r="G72" s="4">
        <f>Settings!$B$4+((A72-1)*(Settings!$B$5+Settings!$B$6)/1440)</f>
        <v>0.16666666666666666</v>
      </c>
      <c r="H72" s="4">
        <f>G72+(Settings!$B$5/1440)</f>
        <v>0.1875</v>
      </c>
      <c r="I72" s="3" t="s">
        <v>236</v>
      </c>
      <c r="J72" s="3">
        <v>45</v>
      </c>
      <c r="K72" s="3">
        <v>45.2</v>
      </c>
      <c r="L72" s="3">
        <v>70</v>
      </c>
      <c r="M72" s="3"/>
      <c r="N72" s="3"/>
    </row>
    <row r="73" spans="1:14">
      <c r="A73" s="3">
        <v>5</v>
      </c>
      <c r="B73" s="3" t="s">
        <v>46</v>
      </c>
      <c r="C73" s="3">
        <v>5</v>
      </c>
      <c r="D73" s="3" t="s">
        <v>441</v>
      </c>
      <c r="E73" s="3" t="s">
        <v>442</v>
      </c>
      <c r="F73" s="3" t="s">
        <v>443</v>
      </c>
      <c r="G73" s="4">
        <f>Settings!$B$4+((A73-1)*(Settings!$B$5+Settings!$B$6)/1440)</f>
        <v>0.16666666666666666</v>
      </c>
      <c r="H73" s="4">
        <f>G73+(Settings!$B$5/1440)</f>
        <v>0.1875</v>
      </c>
      <c r="I73" s="3" t="s">
        <v>236</v>
      </c>
      <c r="J73" s="3">
        <v>45</v>
      </c>
      <c r="K73" s="3">
        <v>45.2</v>
      </c>
      <c r="L73" s="3">
        <v>70</v>
      </c>
      <c r="M73" s="3"/>
      <c r="N73" s="3"/>
    </row>
    <row r="74" spans="1:14">
      <c r="A74" s="3">
        <v>6</v>
      </c>
      <c r="B74" s="3" t="s">
        <v>23</v>
      </c>
      <c r="C74" s="3">
        <v>6</v>
      </c>
      <c r="D74" s="3" t="s">
        <v>444</v>
      </c>
      <c r="E74" s="3" t="s">
        <v>445</v>
      </c>
      <c r="F74" s="3" t="s">
        <v>446</v>
      </c>
      <c r="G74" s="4">
        <f>Settings!$B$4+((A74-1)*(Settings!$B$5+Settings!$B$6)/1440)</f>
        <v>0.20833333333333334</v>
      </c>
      <c r="H74" s="4">
        <f>G74+(Settings!$B$5/1440)</f>
        <v>0.22916666666666669</v>
      </c>
      <c r="I74" s="3" t="s">
        <v>236</v>
      </c>
      <c r="J74" s="3">
        <v>45</v>
      </c>
      <c r="K74" s="3">
        <v>45.2</v>
      </c>
      <c r="L74" s="3">
        <v>70</v>
      </c>
      <c r="M74" s="3"/>
      <c r="N74" s="3"/>
    </row>
    <row r="75" spans="1:14">
      <c r="A75" s="3">
        <v>6</v>
      </c>
      <c r="B75" s="3" t="s">
        <v>26</v>
      </c>
      <c r="C75" s="3">
        <v>6</v>
      </c>
      <c r="D75" s="3" t="s">
        <v>447</v>
      </c>
      <c r="E75" s="3" t="s">
        <v>448</v>
      </c>
      <c r="F75" s="3" t="s">
        <v>449</v>
      </c>
      <c r="G75" s="4">
        <f>Settings!$B$4+((A75-1)*(Settings!$B$5+Settings!$B$6)/1440)</f>
        <v>0.20833333333333334</v>
      </c>
      <c r="H75" s="4">
        <f>G75+(Settings!$B$5/1440)</f>
        <v>0.22916666666666669</v>
      </c>
      <c r="I75" s="3" t="s">
        <v>236</v>
      </c>
      <c r="J75" s="3">
        <v>45</v>
      </c>
      <c r="K75" s="3">
        <v>45.2</v>
      </c>
      <c r="L75" s="3">
        <v>70</v>
      </c>
      <c r="M75" s="3"/>
      <c r="N75" s="3"/>
    </row>
    <row r="76" spans="1:14">
      <c r="A76" s="3">
        <v>6</v>
      </c>
      <c r="B76" s="3" t="s">
        <v>29</v>
      </c>
      <c r="C76" s="3">
        <v>6</v>
      </c>
      <c r="D76" s="3" t="s">
        <v>450</v>
      </c>
      <c r="E76" s="3" t="s">
        <v>451</v>
      </c>
      <c r="F76" s="3" t="s">
        <v>452</v>
      </c>
      <c r="G76" s="4">
        <f>Settings!$B$4+((A76-1)*(Settings!$B$5+Settings!$B$6)/1440)</f>
        <v>0.20833333333333334</v>
      </c>
      <c r="H76" s="4">
        <f>G76+(Settings!$B$5/1440)</f>
        <v>0.22916666666666669</v>
      </c>
      <c r="I76" s="3" t="s">
        <v>236</v>
      </c>
      <c r="J76" s="3">
        <v>45</v>
      </c>
      <c r="K76" s="3">
        <v>45.2</v>
      </c>
      <c r="L76" s="3">
        <v>70</v>
      </c>
      <c r="M76" s="3"/>
      <c r="N76" s="3"/>
    </row>
    <row r="77" spans="1:14">
      <c r="A77" s="3">
        <v>6</v>
      </c>
      <c r="B77" s="3" t="s">
        <v>32</v>
      </c>
      <c r="C77" s="3">
        <v>6</v>
      </c>
      <c r="D77" s="3" t="s">
        <v>453</v>
      </c>
      <c r="E77" s="3" t="s">
        <v>454</v>
      </c>
      <c r="F77" s="3" t="s">
        <v>455</v>
      </c>
      <c r="G77" s="4">
        <f>Settings!$B$4+((A77-1)*(Settings!$B$5+Settings!$B$6)/1440)</f>
        <v>0.20833333333333334</v>
      </c>
      <c r="H77" s="4">
        <f>G77+(Settings!$B$5/1440)</f>
        <v>0.22916666666666669</v>
      </c>
      <c r="I77" s="3" t="s">
        <v>236</v>
      </c>
      <c r="J77" s="3">
        <v>45</v>
      </c>
      <c r="K77" s="3">
        <v>45.2</v>
      </c>
      <c r="L77" s="3">
        <v>70</v>
      </c>
      <c r="M77" s="3"/>
      <c r="N77" s="3"/>
    </row>
    <row r="78" spans="1:14">
      <c r="A78" s="3">
        <v>6</v>
      </c>
      <c r="B78" s="3" t="s">
        <v>35</v>
      </c>
      <c r="C78" s="3">
        <v>6</v>
      </c>
      <c r="D78" s="3" t="s">
        <v>456</v>
      </c>
      <c r="E78" s="3" t="s">
        <v>457</v>
      </c>
      <c r="F78" s="3" t="s">
        <v>458</v>
      </c>
      <c r="G78" s="4">
        <f>Settings!$B$4+((A78-1)*(Settings!$B$5+Settings!$B$6)/1440)</f>
        <v>0.20833333333333334</v>
      </c>
      <c r="H78" s="4">
        <f>G78+(Settings!$B$5/1440)</f>
        <v>0.22916666666666669</v>
      </c>
      <c r="I78" s="3" t="s">
        <v>236</v>
      </c>
      <c r="J78" s="3">
        <v>45</v>
      </c>
      <c r="K78" s="3">
        <v>45.2</v>
      </c>
      <c r="L78" s="3">
        <v>70</v>
      </c>
      <c r="M78" s="3"/>
      <c r="N78" s="3"/>
    </row>
    <row r="79" spans="1:14">
      <c r="A79" s="3">
        <v>6</v>
      </c>
      <c r="B79" s="3" t="s">
        <v>38</v>
      </c>
      <c r="C79" s="3">
        <v>6</v>
      </c>
      <c r="D79" s="3" t="s">
        <v>459</v>
      </c>
      <c r="E79" s="3" t="s">
        <v>460</v>
      </c>
      <c r="F79" s="3" t="s">
        <v>461</v>
      </c>
      <c r="G79" s="4">
        <f>Settings!$B$4+((A79-1)*(Settings!$B$5+Settings!$B$6)/1440)</f>
        <v>0.20833333333333334</v>
      </c>
      <c r="H79" s="4">
        <f>G79+(Settings!$B$5/1440)</f>
        <v>0.22916666666666669</v>
      </c>
      <c r="I79" s="3" t="s">
        <v>236</v>
      </c>
      <c r="J79" s="3">
        <v>45</v>
      </c>
      <c r="K79" s="3">
        <v>45.2</v>
      </c>
      <c r="L79" s="3">
        <v>70</v>
      </c>
      <c r="M79" s="3"/>
      <c r="N79" s="3"/>
    </row>
    <row r="80" spans="1:14">
      <c r="A80" s="3">
        <v>6</v>
      </c>
      <c r="B80" s="3" t="s">
        <v>39</v>
      </c>
      <c r="C80" s="3">
        <v>6</v>
      </c>
      <c r="D80" s="3" t="s">
        <v>462</v>
      </c>
      <c r="E80" s="3" t="s">
        <v>463</v>
      </c>
      <c r="F80" s="3" t="s">
        <v>464</v>
      </c>
      <c r="G80" s="4">
        <f>Settings!$B$4+((A80-1)*(Settings!$B$5+Settings!$B$6)/1440)</f>
        <v>0.20833333333333334</v>
      </c>
      <c r="H80" s="4">
        <f>G80+(Settings!$B$5/1440)</f>
        <v>0.22916666666666669</v>
      </c>
      <c r="I80" s="3" t="s">
        <v>236</v>
      </c>
      <c r="J80" s="3">
        <v>45</v>
      </c>
      <c r="K80" s="3">
        <v>45.2</v>
      </c>
      <c r="L80" s="3">
        <v>70</v>
      </c>
      <c r="M80" s="3"/>
      <c r="N80" s="3"/>
    </row>
    <row r="81" spans="1:14">
      <c r="A81" s="3">
        <v>6</v>
      </c>
      <c r="B81" s="3" t="s">
        <v>40</v>
      </c>
      <c r="C81" s="3">
        <v>6</v>
      </c>
      <c r="D81" s="3" t="s">
        <v>465</v>
      </c>
      <c r="E81" s="3" t="s">
        <v>466</v>
      </c>
      <c r="F81" s="3" t="s">
        <v>467</v>
      </c>
      <c r="G81" s="4">
        <f>Settings!$B$4+((A81-1)*(Settings!$B$5+Settings!$B$6)/1440)</f>
        <v>0.20833333333333334</v>
      </c>
      <c r="H81" s="4">
        <f>G81+(Settings!$B$5/1440)</f>
        <v>0.22916666666666669</v>
      </c>
      <c r="I81" s="3" t="s">
        <v>236</v>
      </c>
      <c r="J81" s="3">
        <v>45</v>
      </c>
      <c r="K81" s="3">
        <v>45.2</v>
      </c>
      <c r="L81" s="3">
        <v>70</v>
      </c>
      <c r="M81" s="3"/>
      <c r="N81" s="3"/>
    </row>
    <row r="82" spans="1:14">
      <c r="A82" s="3">
        <v>6</v>
      </c>
      <c r="B82" s="3" t="s">
        <v>41</v>
      </c>
      <c r="C82" s="3">
        <v>6</v>
      </c>
      <c r="D82" s="3" t="s">
        <v>468</v>
      </c>
      <c r="E82" s="3" t="s">
        <v>469</v>
      </c>
      <c r="F82" s="3" t="s">
        <v>470</v>
      </c>
      <c r="G82" s="4">
        <f>Settings!$B$4+((A82-1)*(Settings!$B$5+Settings!$B$6)/1440)</f>
        <v>0.20833333333333334</v>
      </c>
      <c r="H82" s="4">
        <f>G82+(Settings!$B$5/1440)</f>
        <v>0.22916666666666669</v>
      </c>
      <c r="I82" s="3" t="s">
        <v>236</v>
      </c>
      <c r="J82" s="3">
        <v>45</v>
      </c>
      <c r="K82" s="3">
        <v>45.2</v>
      </c>
      <c r="L82" s="3">
        <v>70</v>
      </c>
      <c r="M82" s="3"/>
      <c r="N82" s="3"/>
    </row>
    <row r="83" spans="1:14">
      <c r="A83" s="3">
        <v>6</v>
      </c>
      <c r="B83" s="3" t="s">
        <v>42</v>
      </c>
      <c r="C83" s="3">
        <v>6</v>
      </c>
      <c r="D83" s="3" t="s">
        <v>471</v>
      </c>
      <c r="E83" s="3" t="s">
        <v>472</v>
      </c>
      <c r="F83" s="3" t="s">
        <v>473</v>
      </c>
      <c r="G83" s="4">
        <f>Settings!$B$4+((A83-1)*(Settings!$B$5+Settings!$B$6)/1440)</f>
        <v>0.20833333333333334</v>
      </c>
      <c r="H83" s="4">
        <f>G83+(Settings!$B$5/1440)</f>
        <v>0.22916666666666669</v>
      </c>
      <c r="I83" s="3" t="s">
        <v>236</v>
      </c>
      <c r="J83" s="3">
        <v>45</v>
      </c>
      <c r="K83" s="3">
        <v>45.2</v>
      </c>
      <c r="L83" s="3">
        <v>70</v>
      </c>
      <c r="M83" s="3"/>
      <c r="N83" s="3"/>
    </row>
    <row r="84" spans="1:14">
      <c r="A84" s="3">
        <v>6</v>
      </c>
      <c r="B84" s="3" t="s">
        <v>43</v>
      </c>
      <c r="C84" s="3">
        <v>6</v>
      </c>
      <c r="D84" s="3" t="s">
        <v>474</v>
      </c>
      <c r="E84" s="3" t="s">
        <v>475</v>
      </c>
      <c r="F84" s="3" t="s">
        <v>476</v>
      </c>
      <c r="G84" s="4">
        <f>Settings!$B$4+((A84-1)*(Settings!$B$5+Settings!$B$6)/1440)</f>
        <v>0.20833333333333334</v>
      </c>
      <c r="H84" s="4">
        <f>G84+(Settings!$B$5/1440)</f>
        <v>0.22916666666666669</v>
      </c>
      <c r="I84" s="3" t="s">
        <v>236</v>
      </c>
      <c r="J84" s="3">
        <v>45</v>
      </c>
      <c r="K84" s="3">
        <v>45.2</v>
      </c>
      <c r="L84" s="3">
        <v>70</v>
      </c>
      <c r="M84" s="3"/>
      <c r="N84" s="3"/>
    </row>
    <row r="85" spans="1:14">
      <c r="A85" s="3">
        <v>6</v>
      </c>
      <c r="B85" s="3" t="s">
        <v>44</v>
      </c>
      <c r="C85" s="3">
        <v>6</v>
      </c>
      <c r="D85" s="3" t="s">
        <v>477</v>
      </c>
      <c r="E85" s="3" t="s">
        <v>478</v>
      </c>
      <c r="F85" s="3" t="s">
        <v>479</v>
      </c>
      <c r="G85" s="4">
        <f>Settings!$B$4+((A85-1)*(Settings!$B$5+Settings!$B$6)/1440)</f>
        <v>0.20833333333333334</v>
      </c>
      <c r="H85" s="4">
        <f>G85+(Settings!$B$5/1440)</f>
        <v>0.22916666666666669</v>
      </c>
      <c r="I85" s="3" t="s">
        <v>236</v>
      </c>
      <c r="J85" s="3">
        <v>45</v>
      </c>
      <c r="K85" s="3">
        <v>45.2</v>
      </c>
      <c r="L85" s="3">
        <v>70</v>
      </c>
      <c r="M85" s="3"/>
      <c r="N85" s="3"/>
    </row>
    <row r="86" spans="1:14">
      <c r="A86" s="3">
        <v>6</v>
      </c>
      <c r="B86" s="3" t="s">
        <v>45</v>
      </c>
      <c r="C86" s="3">
        <v>6</v>
      </c>
      <c r="D86" s="3" t="s">
        <v>480</v>
      </c>
      <c r="E86" s="3" t="s">
        <v>481</v>
      </c>
      <c r="F86" s="3" t="s">
        <v>482</v>
      </c>
      <c r="G86" s="4">
        <f>Settings!$B$4+((A86-1)*(Settings!$B$5+Settings!$B$6)/1440)</f>
        <v>0.20833333333333334</v>
      </c>
      <c r="H86" s="4">
        <f>G86+(Settings!$B$5/1440)</f>
        <v>0.22916666666666669</v>
      </c>
      <c r="I86" s="3" t="s">
        <v>236</v>
      </c>
      <c r="J86" s="3">
        <v>45</v>
      </c>
      <c r="K86" s="3">
        <v>45.2</v>
      </c>
      <c r="L86" s="3">
        <v>70</v>
      </c>
      <c r="M86" s="3"/>
      <c r="N86" s="3"/>
    </row>
    <row r="87" spans="1:14">
      <c r="A87" s="3">
        <v>6</v>
      </c>
      <c r="B87" s="3" t="s">
        <v>46</v>
      </c>
      <c r="C87" s="3">
        <v>6</v>
      </c>
      <c r="D87" s="3" t="s">
        <v>483</v>
      </c>
      <c r="E87" s="3" t="s">
        <v>484</v>
      </c>
      <c r="F87" s="3" t="s">
        <v>485</v>
      </c>
      <c r="G87" s="4">
        <f>Settings!$B$4+((A87-1)*(Settings!$B$5+Settings!$B$6)/1440)</f>
        <v>0.20833333333333334</v>
      </c>
      <c r="H87" s="4">
        <f>G87+(Settings!$B$5/1440)</f>
        <v>0.22916666666666669</v>
      </c>
      <c r="I87" s="3" t="s">
        <v>236</v>
      </c>
      <c r="J87" s="3">
        <v>45</v>
      </c>
      <c r="K87" s="3">
        <v>45.2</v>
      </c>
      <c r="L87" s="3">
        <v>70</v>
      </c>
      <c r="M87" s="3"/>
      <c r="N87" s="3"/>
    </row>
    <row r="88" spans="1:14">
      <c r="A88" s="3">
        <v>7</v>
      </c>
      <c r="B88" s="3" t="s">
        <v>23</v>
      </c>
      <c r="C88" s="3">
        <v>7</v>
      </c>
      <c r="D88" s="3" t="s">
        <v>486</v>
      </c>
      <c r="E88" s="3" t="s">
        <v>487</v>
      </c>
      <c r="F88" s="3" t="s">
        <v>488</v>
      </c>
      <c r="G88" s="4">
        <f>Settings!$B$4+((A88-1)*(Settings!$B$5+Settings!$B$6)/1440)</f>
        <v>0.25</v>
      </c>
      <c r="H88" s="4">
        <f>G88+(Settings!$B$5/1440)</f>
        <v>0.27083333333333331</v>
      </c>
      <c r="I88" s="3" t="s">
        <v>236</v>
      </c>
      <c r="J88" s="3">
        <v>45</v>
      </c>
      <c r="K88" s="3">
        <v>45.2</v>
      </c>
      <c r="L88" s="3">
        <v>70</v>
      </c>
      <c r="M88" s="3"/>
      <c r="N88" s="3"/>
    </row>
    <row r="89" spans="1:14">
      <c r="A89" s="3">
        <v>7</v>
      </c>
      <c r="B89" s="3" t="s">
        <v>26</v>
      </c>
      <c r="C89" s="3">
        <v>7</v>
      </c>
      <c r="D89" s="3" t="s">
        <v>489</v>
      </c>
      <c r="E89" s="3" t="s">
        <v>490</v>
      </c>
      <c r="F89" s="3" t="s">
        <v>491</v>
      </c>
      <c r="G89" s="4">
        <f>Settings!$B$4+((A89-1)*(Settings!$B$5+Settings!$B$6)/1440)</f>
        <v>0.25</v>
      </c>
      <c r="H89" s="4">
        <f>G89+(Settings!$B$5/1440)</f>
        <v>0.27083333333333331</v>
      </c>
      <c r="I89" s="3" t="s">
        <v>236</v>
      </c>
      <c r="J89" s="3">
        <v>45</v>
      </c>
      <c r="K89" s="3">
        <v>45.2</v>
      </c>
      <c r="L89" s="3">
        <v>70</v>
      </c>
      <c r="M89" s="3"/>
      <c r="N89" s="3"/>
    </row>
    <row r="90" spans="1:14">
      <c r="A90" s="3">
        <v>7</v>
      </c>
      <c r="B90" s="3" t="s">
        <v>29</v>
      </c>
      <c r="C90" s="3">
        <v>7</v>
      </c>
      <c r="D90" s="3" t="s">
        <v>492</v>
      </c>
      <c r="E90" s="3" t="s">
        <v>493</v>
      </c>
      <c r="F90" s="3" t="s">
        <v>494</v>
      </c>
      <c r="G90" s="4">
        <f>Settings!$B$4+((A90-1)*(Settings!$B$5+Settings!$B$6)/1440)</f>
        <v>0.25</v>
      </c>
      <c r="H90" s="4">
        <f>G90+(Settings!$B$5/1440)</f>
        <v>0.27083333333333331</v>
      </c>
      <c r="I90" s="3" t="s">
        <v>236</v>
      </c>
      <c r="J90" s="3">
        <v>45</v>
      </c>
      <c r="K90" s="3">
        <v>45.2</v>
      </c>
      <c r="L90" s="3">
        <v>70</v>
      </c>
      <c r="M90" s="3"/>
      <c r="N90" s="3"/>
    </row>
    <row r="91" spans="1:14">
      <c r="A91" s="3">
        <v>7</v>
      </c>
      <c r="B91" s="3" t="s">
        <v>32</v>
      </c>
      <c r="C91" s="3">
        <v>7</v>
      </c>
      <c r="D91" s="3" t="s">
        <v>495</v>
      </c>
      <c r="E91" s="3" t="s">
        <v>496</v>
      </c>
      <c r="F91" s="3" t="s">
        <v>497</v>
      </c>
      <c r="G91" s="4">
        <f>Settings!$B$4+((A91-1)*(Settings!$B$5+Settings!$B$6)/1440)</f>
        <v>0.25</v>
      </c>
      <c r="H91" s="4">
        <f>G91+(Settings!$B$5/1440)</f>
        <v>0.27083333333333331</v>
      </c>
      <c r="I91" s="3" t="s">
        <v>236</v>
      </c>
      <c r="J91" s="3">
        <v>45</v>
      </c>
      <c r="K91" s="3">
        <v>45.2</v>
      </c>
      <c r="L91" s="3">
        <v>70</v>
      </c>
      <c r="M91" s="3"/>
      <c r="N91" s="3"/>
    </row>
    <row r="92" spans="1:14">
      <c r="A92" s="3">
        <v>7</v>
      </c>
      <c r="B92" s="3" t="s">
        <v>35</v>
      </c>
      <c r="C92" s="3">
        <v>7</v>
      </c>
      <c r="D92" s="3" t="s">
        <v>498</v>
      </c>
      <c r="E92" s="3" t="s">
        <v>499</v>
      </c>
      <c r="F92" s="3" t="s">
        <v>500</v>
      </c>
      <c r="G92" s="4">
        <f>Settings!$B$4+((A92-1)*(Settings!$B$5+Settings!$B$6)/1440)</f>
        <v>0.25</v>
      </c>
      <c r="H92" s="4">
        <f>G92+(Settings!$B$5/1440)</f>
        <v>0.27083333333333331</v>
      </c>
      <c r="I92" s="3" t="s">
        <v>236</v>
      </c>
      <c r="J92" s="3">
        <v>45</v>
      </c>
      <c r="K92" s="3">
        <v>45.2</v>
      </c>
      <c r="L92" s="3">
        <v>70</v>
      </c>
      <c r="M92" s="3"/>
      <c r="N92" s="3"/>
    </row>
    <row r="93" spans="1:14">
      <c r="A93" s="3">
        <v>7</v>
      </c>
      <c r="B93" s="3" t="s">
        <v>38</v>
      </c>
      <c r="C93" s="3">
        <v>7</v>
      </c>
      <c r="D93" s="3" t="s">
        <v>501</v>
      </c>
      <c r="E93" s="3" t="s">
        <v>502</v>
      </c>
      <c r="F93" s="3" t="s">
        <v>503</v>
      </c>
      <c r="G93" s="4">
        <f>Settings!$B$4+((A93-1)*(Settings!$B$5+Settings!$B$6)/1440)</f>
        <v>0.25</v>
      </c>
      <c r="H93" s="4">
        <f>G93+(Settings!$B$5/1440)</f>
        <v>0.27083333333333331</v>
      </c>
      <c r="I93" s="3" t="s">
        <v>236</v>
      </c>
      <c r="J93" s="3">
        <v>45</v>
      </c>
      <c r="K93" s="3">
        <v>45.2</v>
      </c>
      <c r="L93" s="3">
        <v>70</v>
      </c>
      <c r="M93" s="3"/>
      <c r="N93" s="3"/>
    </row>
    <row r="94" spans="1:14">
      <c r="A94" s="3">
        <v>7</v>
      </c>
      <c r="B94" s="3" t="s">
        <v>39</v>
      </c>
      <c r="C94" s="3">
        <v>7</v>
      </c>
      <c r="D94" s="3" t="s">
        <v>504</v>
      </c>
      <c r="E94" s="3" t="s">
        <v>505</v>
      </c>
      <c r="F94" s="3" t="s">
        <v>506</v>
      </c>
      <c r="G94" s="4">
        <f>Settings!$B$4+((A94-1)*(Settings!$B$5+Settings!$B$6)/1440)</f>
        <v>0.25</v>
      </c>
      <c r="H94" s="4">
        <f>G94+(Settings!$B$5/1440)</f>
        <v>0.27083333333333331</v>
      </c>
      <c r="I94" s="3" t="s">
        <v>236</v>
      </c>
      <c r="J94" s="3">
        <v>45</v>
      </c>
      <c r="K94" s="3">
        <v>45.2</v>
      </c>
      <c r="L94" s="3">
        <v>70</v>
      </c>
      <c r="M94" s="3"/>
      <c r="N94" s="3"/>
    </row>
    <row r="95" spans="1:14">
      <c r="A95" s="3">
        <v>7</v>
      </c>
      <c r="B95" s="3" t="s">
        <v>40</v>
      </c>
      <c r="C95" s="3">
        <v>7</v>
      </c>
      <c r="D95" s="3" t="s">
        <v>507</v>
      </c>
      <c r="E95" s="3" t="s">
        <v>508</v>
      </c>
      <c r="F95" s="3" t="s">
        <v>509</v>
      </c>
      <c r="G95" s="4">
        <f>Settings!$B$4+((A95-1)*(Settings!$B$5+Settings!$B$6)/1440)</f>
        <v>0.25</v>
      </c>
      <c r="H95" s="4">
        <f>G95+(Settings!$B$5/1440)</f>
        <v>0.27083333333333331</v>
      </c>
      <c r="I95" s="3" t="s">
        <v>236</v>
      </c>
      <c r="J95" s="3">
        <v>45</v>
      </c>
      <c r="K95" s="3">
        <v>45.2</v>
      </c>
      <c r="L95" s="3">
        <v>70</v>
      </c>
      <c r="M95" s="3"/>
      <c r="N95" s="3"/>
    </row>
    <row r="96" spans="1:14">
      <c r="A96" s="3">
        <v>7</v>
      </c>
      <c r="B96" s="3" t="s">
        <v>41</v>
      </c>
      <c r="C96" s="3">
        <v>7</v>
      </c>
      <c r="D96" s="3" t="s">
        <v>510</v>
      </c>
      <c r="E96" s="3" t="s">
        <v>511</v>
      </c>
      <c r="F96" s="3" t="s">
        <v>512</v>
      </c>
      <c r="G96" s="4">
        <f>Settings!$B$4+((A96-1)*(Settings!$B$5+Settings!$B$6)/1440)</f>
        <v>0.25</v>
      </c>
      <c r="H96" s="4">
        <f>G96+(Settings!$B$5/1440)</f>
        <v>0.27083333333333331</v>
      </c>
      <c r="I96" s="3" t="s">
        <v>236</v>
      </c>
      <c r="J96" s="3">
        <v>45</v>
      </c>
      <c r="K96" s="3">
        <v>45.2</v>
      </c>
      <c r="L96" s="3">
        <v>70</v>
      </c>
      <c r="M96" s="3"/>
      <c r="N96" s="3"/>
    </row>
    <row r="97" spans="1:14">
      <c r="A97" s="3">
        <v>7</v>
      </c>
      <c r="B97" s="3" t="s">
        <v>42</v>
      </c>
      <c r="C97" s="3">
        <v>7</v>
      </c>
      <c r="D97" s="3" t="s">
        <v>513</v>
      </c>
      <c r="E97" s="3" t="s">
        <v>514</v>
      </c>
      <c r="F97" s="3" t="s">
        <v>515</v>
      </c>
      <c r="G97" s="4">
        <f>Settings!$B$4+((A97-1)*(Settings!$B$5+Settings!$B$6)/1440)</f>
        <v>0.25</v>
      </c>
      <c r="H97" s="4">
        <f>G97+(Settings!$B$5/1440)</f>
        <v>0.27083333333333331</v>
      </c>
      <c r="I97" s="3" t="s">
        <v>236</v>
      </c>
      <c r="J97" s="3">
        <v>45</v>
      </c>
      <c r="K97" s="3">
        <v>45.2</v>
      </c>
      <c r="L97" s="3">
        <v>70</v>
      </c>
      <c r="M97" s="3"/>
      <c r="N97" s="3"/>
    </row>
    <row r="98" spans="1:14">
      <c r="A98" s="3">
        <v>7</v>
      </c>
      <c r="B98" s="3" t="s">
        <v>43</v>
      </c>
      <c r="C98" s="3">
        <v>7</v>
      </c>
      <c r="D98" s="3" t="s">
        <v>516</v>
      </c>
      <c r="E98" s="3" t="s">
        <v>517</v>
      </c>
      <c r="F98" s="3" t="s">
        <v>518</v>
      </c>
      <c r="G98" s="4">
        <f>Settings!$B$4+((A98-1)*(Settings!$B$5+Settings!$B$6)/1440)</f>
        <v>0.25</v>
      </c>
      <c r="H98" s="4">
        <f>G98+(Settings!$B$5/1440)</f>
        <v>0.27083333333333331</v>
      </c>
      <c r="I98" s="3" t="s">
        <v>236</v>
      </c>
      <c r="J98" s="3">
        <v>45</v>
      </c>
      <c r="K98" s="3">
        <v>45.2</v>
      </c>
      <c r="L98" s="3">
        <v>70</v>
      </c>
      <c r="M98" s="3"/>
      <c r="N98" s="3"/>
    </row>
    <row r="99" spans="1:14">
      <c r="A99" s="3">
        <v>7</v>
      </c>
      <c r="B99" s="3" t="s">
        <v>44</v>
      </c>
      <c r="C99" s="3">
        <v>7</v>
      </c>
      <c r="D99" s="3" t="s">
        <v>519</v>
      </c>
      <c r="E99" s="3" t="s">
        <v>520</v>
      </c>
      <c r="F99" s="3" t="s">
        <v>521</v>
      </c>
      <c r="G99" s="4">
        <f>Settings!$B$4+((A99-1)*(Settings!$B$5+Settings!$B$6)/1440)</f>
        <v>0.25</v>
      </c>
      <c r="H99" s="4">
        <f>G99+(Settings!$B$5/1440)</f>
        <v>0.27083333333333331</v>
      </c>
      <c r="I99" s="3" t="s">
        <v>236</v>
      </c>
      <c r="J99" s="3">
        <v>45</v>
      </c>
      <c r="K99" s="3">
        <v>45.2</v>
      </c>
      <c r="L99" s="3">
        <v>70</v>
      </c>
      <c r="M99" s="3"/>
      <c r="N99" s="3"/>
    </row>
    <row r="100" spans="1:14">
      <c r="A100" s="3">
        <v>7</v>
      </c>
      <c r="B100" s="3" t="s">
        <v>45</v>
      </c>
      <c r="C100" s="3">
        <v>7</v>
      </c>
      <c r="D100" s="3" t="s">
        <v>522</v>
      </c>
      <c r="E100" s="3" t="s">
        <v>523</v>
      </c>
      <c r="F100" s="3" t="s">
        <v>524</v>
      </c>
      <c r="G100" s="4">
        <f>Settings!$B$4+((A100-1)*(Settings!$B$5+Settings!$B$6)/1440)</f>
        <v>0.25</v>
      </c>
      <c r="H100" s="4">
        <f>G100+(Settings!$B$5/1440)</f>
        <v>0.27083333333333331</v>
      </c>
      <c r="I100" s="3" t="s">
        <v>236</v>
      </c>
      <c r="J100" s="3">
        <v>45</v>
      </c>
      <c r="K100" s="3">
        <v>45.2</v>
      </c>
      <c r="L100" s="3">
        <v>70</v>
      </c>
      <c r="M100" s="3"/>
      <c r="N100" s="3"/>
    </row>
    <row r="101" spans="1:14">
      <c r="A101" s="3">
        <v>7</v>
      </c>
      <c r="B101" s="3" t="s">
        <v>46</v>
      </c>
      <c r="C101" s="3">
        <v>7</v>
      </c>
      <c r="D101" s="3" t="s">
        <v>525</v>
      </c>
      <c r="E101" s="3" t="s">
        <v>526</v>
      </c>
      <c r="F101" s="3" t="s">
        <v>527</v>
      </c>
      <c r="G101" s="4">
        <f>Settings!$B$4+((A101-1)*(Settings!$B$5+Settings!$B$6)/1440)</f>
        <v>0.25</v>
      </c>
      <c r="H101" s="4">
        <f>G101+(Settings!$B$5/1440)</f>
        <v>0.27083333333333331</v>
      </c>
      <c r="I101" s="3" t="s">
        <v>236</v>
      </c>
      <c r="J101" s="3">
        <v>45</v>
      </c>
      <c r="K101" s="3">
        <v>45.2</v>
      </c>
      <c r="L101" s="3">
        <v>70</v>
      </c>
      <c r="M101" s="3"/>
      <c r="N101" s="3"/>
    </row>
    <row r="102" spans="1:14">
      <c r="A102" s="3">
        <v>8</v>
      </c>
      <c r="B102" s="3" t="s">
        <v>23</v>
      </c>
      <c r="C102" s="3">
        <v>8</v>
      </c>
      <c r="D102" s="3" t="s">
        <v>528</v>
      </c>
      <c r="E102" s="3" t="s">
        <v>529</v>
      </c>
      <c r="F102" s="3" t="s">
        <v>530</v>
      </c>
      <c r="G102" s="4">
        <f>Settings!$B$4+((A102-1)*(Settings!$B$5+Settings!$B$6)/1440)</f>
        <v>0.29166666666666669</v>
      </c>
      <c r="H102" s="4">
        <f>G102+(Settings!$B$5/1440)</f>
        <v>0.3125</v>
      </c>
      <c r="I102" s="3" t="s">
        <v>236</v>
      </c>
      <c r="J102" s="3">
        <v>45</v>
      </c>
      <c r="K102" s="3">
        <v>45.2</v>
      </c>
      <c r="L102" s="3">
        <v>70</v>
      </c>
      <c r="M102" s="3"/>
      <c r="N102" s="3"/>
    </row>
    <row r="103" spans="1:14">
      <c r="A103" s="3">
        <v>8</v>
      </c>
      <c r="B103" s="3" t="s">
        <v>26</v>
      </c>
      <c r="C103" s="3">
        <v>8</v>
      </c>
      <c r="D103" s="3" t="s">
        <v>531</v>
      </c>
      <c r="E103" s="3" t="s">
        <v>532</v>
      </c>
      <c r="F103" s="3" t="s">
        <v>533</v>
      </c>
      <c r="G103" s="4">
        <f>Settings!$B$4+((A103-1)*(Settings!$B$5+Settings!$B$6)/1440)</f>
        <v>0.29166666666666669</v>
      </c>
      <c r="H103" s="4">
        <f>G103+(Settings!$B$5/1440)</f>
        <v>0.3125</v>
      </c>
      <c r="I103" s="3" t="s">
        <v>236</v>
      </c>
      <c r="J103" s="3">
        <v>45</v>
      </c>
      <c r="K103" s="3">
        <v>45.2</v>
      </c>
      <c r="L103" s="3">
        <v>70</v>
      </c>
      <c r="M103" s="3"/>
      <c r="N103" s="3"/>
    </row>
    <row r="104" spans="1:14">
      <c r="A104" s="3">
        <v>8</v>
      </c>
      <c r="B104" s="3" t="s">
        <v>29</v>
      </c>
      <c r="C104" s="3">
        <v>8</v>
      </c>
      <c r="D104" s="3" t="s">
        <v>534</v>
      </c>
      <c r="E104" s="3" t="s">
        <v>535</v>
      </c>
      <c r="F104" s="3" t="s">
        <v>536</v>
      </c>
      <c r="G104" s="4">
        <f>Settings!$B$4+((A104-1)*(Settings!$B$5+Settings!$B$6)/1440)</f>
        <v>0.29166666666666669</v>
      </c>
      <c r="H104" s="4">
        <f>G104+(Settings!$B$5/1440)</f>
        <v>0.3125</v>
      </c>
      <c r="I104" s="3" t="s">
        <v>236</v>
      </c>
      <c r="J104" s="3">
        <v>45</v>
      </c>
      <c r="K104" s="3">
        <v>45.2</v>
      </c>
      <c r="L104" s="3">
        <v>70</v>
      </c>
      <c r="M104" s="3"/>
      <c r="N104" s="3"/>
    </row>
    <row r="105" spans="1:14">
      <c r="A105" s="3">
        <v>8</v>
      </c>
      <c r="B105" s="3" t="s">
        <v>32</v>
      </c>
      <c r="C105" s="3">
        <v>8</v>
      </c>
      <c r="D105" s="3" t="s">
        <v>537</v>
      </c>
      <c r="E105" s="3" t="s">
        <v>538</v>
      </c>
      <c r="F105" s="3" t="s">
        <v>539</v>
      </c>
      <c r="G105" s="4">
        <f>Settings!$B$4+((A105-1)*(Settings!$B$5+Settings!$B$6)/1440)</f>
        <v>0.29166666666666669</v>
      </c>
      <c r="H105" s="4">
        <f>G105+(Settings!$B$5/1440)</f>
        <v>0.3125</v>
      </c>
      <c r="I105" s="3" t="s">
        <v>236</v>
      </c>
      <c r="J105" s="3">
        <v>45</v>
      </c>
      <c r="K105" s="3">
        <v>45.2</v>
      </c>
      <c r="L105" s="3">
        <v>70</v>
      </c>
      <c r="M105" s="3"/>
      <c r="N105" s="3"/>
    </row>
    <row r="106" spans="1:14">
      <c r="A106" s="3">
        <v>8</v>
      </c>
      <c r="B106" s="3" t="s">
        <v>35</v>
      </c>
      <c r="C106" s="3">
        <v>8</v>
      </c>
      <c r="D106" s="3" t="s">
        <v>540</v>
      </c>
      <c r="E106" s="3" t="s">
        <v>541</v>
      </c>
      <c r="F106" s="3" t="s">
        <v>542</v>
      </c>
      <c r="G106" s="4">
        <f>Settings!$B$4+((A106-1)*(Settings!$B$5+Settings!$B$6)/1440)</f>
        <v>0.29166666666666669</v>
      </c>
      <c r="H106" s="4">
        <f>G106+(Settings!$B$5/1440)</f>
        <v>0.3125</v>
      </c>
      <c r="I106" s="3" t="s">
        <v>236</v>
      </c>
      <c r="J106" s="3">
        <v>45</v>
      </c>
      <c r="K106" s="3">
        <v>45.2</v>
      </c>
      <c r="L106" s="3">
        <v>70</v>
      </c>
      <c r="M106" s="3"/>
      <c r="N106" s="3"/>
    </row>
    <row r="107" spans="1:14">
      <c r="A107" s="3">
        <v>8</v>
      </c>
      <c r="B107" s="3" t="s">
        <v>38</v>
      </c>
      <c r="C107" s="3">
        <v>8</v>
      </c>
      <c r="D107" s="3" t="s">
        <v>543</v>
      </c>
      <c r="E107" s="3" t="s">
        <v>544</v>
      </c>
      <c r="F107" s="3" t="s">
        <v>545</v>
      </c>
      <c r="G107" s="4">
        <f>Settings!$B$4+((A107-1)*(Settings!$B$5+Settings!$B$6)/1440)</f>
        <v>0.29166666666666669</v>
      </c>
      <c r="H107" s="4">
        <f>G107+(Settings!$B$5/1440)</f>
        <v>0.3125</v>
      </c>
      <c r="I107" s="3" t="s">
        <v>236</v>
      </c>
      <c r="J107" s="3">
        <v>45</v>
      </c>
      <c r="K107" s="3">
        <v>45.2</v>
      </c>
      <c r="L107" s="3">
        <v>70</v>
      </c>
      <c r="M107" s="3"/>
      <c r="N107" s="3"/>
    </row>
    <row r="108" spans="1:14">
      <c r="A108" s="3">
        <v>8</v>
      </c>
      <c r="B108" s="3" t="s">
        <v>39</v>
      </c>
      <c r="C108" s="3">
        <v>8</v>
      </c>
      <c r="D108" s="3" t="s">
        <v>546</v>
      </c>
      <c r="E108" s="3" t="s">
        <v>547</v>
      </c>
      <c r="F108" s="3" t="s">
        <v>548</v>
      </c>
      <c r="G108" s="4">
        <f>Settings!$B$4+((A108-1)*(Settings!$B$5+Settings!$B$6)/1440)</f>
        <v>0.29166666666666669</v>
      </c>
      <c r="H108" s="4">
        <f>G108+(Settings!$B$5/1440)</f>
        <v>0.3125</v>
      </c>
      <c r="I108" s="3" t="s">
        <v>236</v>
      </c>
      <c r="J108" s="3">
        <v>45</v>
      </c>
      <c r="K108" s="3">
        <v>45.2</v>
      </c>
      <c r="L108" s="3">
        <v>70</v>
      </c>
      <c r="M108" s="3"/>
      <c r="N108" s="3"/>
    </row>
    <row r="109" spans="1:14">
      <c r="A109" s="3">
        <v>8</v>
      </c>
      <c r="B109" s="3" t="s">
        <v>40</v>
      </c>
      <c r="C109" s="3">
        <v>8</v>
      </c>
      <c r="D109" s="3" t="s">
        <v>549</v>
      </c>
      <c r="E109" s="3" t="s">
        <v>550</v>
      </c>
      <c r="F109" s="3" t="s">
        <v>551</v>
      </c>
      <c r="G109" s="4">
        <f>Settings!$B$4+((A109-1)*(Settings!$B$5+Settings!$B$6)/1440)</f>
        <v>0.29166666666666669</v>
      </c>
      <c r="H109" s="4">
        <f>G109+(Settings!$B$5/1440)</f>
        <v>0.3125</v>
      </c>
      <c r="I109" s="3" t="s">
        <v>236</v>
      </c>
      <c r="J109" s="3">
        <v>45</v>
      </c>
      <c r="K109" s="3">
        <v>45.2</v>
      </c>
      <c r="L109" s="3">
        <v>70</v>
      </c>
      <c r="M109" s="3"/>
      <c r="N109" s="3"/>
    </row>
    <row r="110" spans="1:14">
      <c r="A110" s="3">
        <v>8</v>
      </c>
      <c r="B110" s="3" t="s">
        <v>41</v>
      </c>
      <c r="C110" s="3">
        <v>8</v>
      </c>
      <c r="D110" s="3" t="s">
        <v>552</v>
      </c>
      <c r="E110" s="3" t="s">
        <v>553</v>
      </c>
      <c r="F110" s="3" t="s">
        <v>554</v>
      </c>
      <c r="G110" s="4">
        <f>Settings!$B$4+((A110-1)*(Settings!$B$5+Settings!$B$6)/1440)</f>
        <v>0.29166666666666669</v>
      </c>
      <c r="H110" s="4">
        <f>G110+(Settings!$B$5/1440)</f>
        <v>0.3125</v>
      </c>
      <c r="I110" s="3" t="s">
        <v>236</v>
      </c>
      <c r="J110" s="3">
        <v>45</v>
      </c>
      <c r="K110" s="3">
        <v>45.2</v>
      </c>
      <c r="L110" s="3">
        <v>70</v>
      </c>
      <c r="M110" s="3"/>
      <c r="N110" s="3"/>
    </row>
    <row r="111" spans="1:14">
      <c r="A111" s="3">
        <v>8</v>
      </c>
      <c r="B111" s="3" t="s">
        <v>42</v>
      </c>
      <c r="C111" s="3">
        <v>8</v>
      </c>
      <c r="D111" s="3" t="s">
        <v>555</v>
      </c>
      <c r="E111" s="3" t="s">
        <v>556</v>
      </c>
      <c r="F111" s="3" t="s">
        <v>557</v>
      </c>
      <c r="G111" s="4">
        <f>Settings!$B$4+((A111-1)*(Settings!$B$5+Settings!$B$6)/1440)</f>
        <v>0.29166666666666669</v>
      </c>
      <c r="H111" s="4">
        <f>G111+(Settings!$B$5/1440)</f>
        <v>0.3125</v>
      </c>
      <c r="I111" s="3" t="s">
        <v>236</v>
      </c>
      <c r="J111" s="3">
        <v>45</v>
      </c>
      <c r="K111" s="3">
        <v>45.2</v>
      </c>
      <c r="L111" s="3">
        <v>70</v>
      </c>
      <c r="M111" s="3"/>
      <c r="N111" s="3"/>
    </row>
    <row r="112" spans="1:14">
      <c r="A112" s="3">
        <v>8</v>
      </c>
      <c r="B112" s="3" t="s">
        <v>43</v>
      </c>
      <c r="C112" s="3">
        <v>8</v>
      </c>
      <c r="D112" s="3" t="s">
        <v>558</v>
      </c>
      <c r="E112" s="3" t="s">
        <v>559</v>
      </c>
      <c r="F112" s="3" t="s">
        <v>560</v>
      </c>
      <c r="G112" s="4">
        <f>Settings!$B$4+((A112-1)*(Settings!$B$5+Settings!$B$6)/1440)</f>
        <v>0.29166666666666669</v>
      </c>
      <c r="H112" s="4">
        <f>G112+(Settings!$B$5/1440)</f>
        <v>0.3125</v>
      </c>
      <c r="I112" s="3" t="s">
        <v>236</v>
      </c>
      <c r="J112" s="3">
        <v>45</v>
      </c>
      <c r="K112" s="3">
        <v>45.2</v>
      </c>
      <c r="L112" s="3">
        <v>70</v>
      </c>
      <c r="M112" s="3"/>
      <c r="N112" s="3"/>
    </row>
    <row r="113" spans="1:14">
      <c r="A113" s="3">
        <v>8</v>
      </c>
      <c r="B113" s="3" t="s">
        <v>44</v>
      </c>
      <c r="C113" s="3">
        <v>8</v>
      </c>
      <c r="D113" s="3" t="s">
        <v>561</v>
      </c>
      <c r="E113" s="3" t="s">
        <v>562</v>
      </c>
      <c r="F113" s="3" t="s">
        <v>563</v>
      </c>
      <c r="G113" s="4">
        <f>Settings!$B$4+((A113-1)*(Settings!$B$5+Settings!$B$6)/1440)</f>
        <v>0.29166666666666669</v>
      </c>
      <c r="H113" s="4">
        <f>G113+(Settings!$B$5/1440)</f>
        <v>0.3125</v>
      </c>
      <c r="I113" s="3" t="s">
        <v>236</v>
      </c>
      <c r="J113" s="3">
        <v>45</v>
      </c>
      <c r="K113" s="3">
        <v>45.2</v>
      </c>
      <c r="L113" s="3">
        <v>70</v>
      </c>
      <c r="M113" s="3"/>
      <c r="N113" s="3"/>
    </row>
    <row r="114" spans="1:14">
      <c r="A114" s="3">
        <v>8</v>
      </c>
      <c r="B114" s="3" t="s">
        <v>45</v>
      </c>
      <c r="C114" s="3">
        <v>8</v>
      </c>
      <c r="D114" s="3" t="s">
        <v>564</v>
      </c>
      <c r="E114" s="3" t="s">
        <v>565</v>
      </c>
      <c r="F114" s="3" t="s">
        <v>566</v>
      </c>
      <c r="G114" s="4">
        <f>Settings!$B$4+((A114-1)*(Settings!$B$5+Settings!$B$6)/1440)</f>
        <v>0.29166666666666669</v>
      </c>
      <c r="H114" s="4">
        <f>G114+(Settings!$B$5/1440)</f>
        <v>0.3125</v>
      </c>
      <c r="I114" s="3" t="s">
        <v>236</v>
      </c>
      <c r="J114" s="3">
        <v>45</v>
      </c>
      <c r="K114" s="3">
        <v>45.2</v>
      </c>
      <c r="L114" s="3">
        <v>70</v>
      </c>
      <c r="M114" s="3"/>
      <c r="N114" s="3"/>
    </row>
    <row r="115" spans="1:14">
      <c r="A115" s="3">
        <v>8</v>
      </c>
      <c r="B115" s="3" t="s">
        <v>46</v>
      </c>
      <c r="C115" s="3">
        <v>8</v>
      </c>
      <c r="D115" s="3" t="s">
        <v>567</v>
      </c>
      <c r="E115" s="3" t="s">
        <v>568</v>
      </c>
      <c r="F115" s="3" t="s">
        <v>569</v>
      </c>
      <c r="G115" s="4">
        <f>Settings!$B$4+((A115-1)*(Settings!$B$5+Settings!$B$6)/1440)</f>
        <v>0.29166666666666669</v>
      </c>
      <c r="H115" s="4">
        <f>G115+(Settings!$B$5/1440)</f>
        <v>0.3125</v>
      </c>
      <c r="I115" s="3" t="s">
        <v>236</v>
      </c>
      <c r="J115" s="3">
        <v>45</v>
      </c>
      <c r="K115" s="3">
        <v>45.2</v>
      </c>
      <c r="L115" s="3">
        <v>70</v>
      </c>
      <c r="M115" s="3"/>
      <c r="N115" s="3"/>
    </row>
    <row r="116" spans="1:14">
      <c r="A116" s="3">
        <v>9</v>
      </c>
      <c r="B116" s="3" t="s">
        <v>23</v>
      </c>
      <c r="C116" s="3">
        <v>9</v>
      </c>
      <c r="D116" s="3" t="s">
        <v>570</v>
      </c>
      <c r="E116" s="3" t="s">
        <v>571</v>
      </c>
      <c r="F116" s="3" t="s">
        <v>572</v>
      </c>
      <c r="G116" s="4">
        <f>Settings!$B$4+((A116-1)*(Settings!$B$5+Settings!$B$6)/1440)</f>
        <v>0.33333333333333331</v>
      </c>
      <c r="H116" s="4">
        <f>G116+(Settings!$B$5/1440)</f>
        <v>0.35416666666666663</v>
      </c>
      <c r="I116" s="3" t="s">
        <v>236</v>
      </c>
      <c r="J116" s="3">
        <v>45</v>
      </c>
      <c r="K116" s="3">
        <v>45.2</v>
      </c>
      <c r="L116" s="3">
        <v>70</v>
      </c>
      <c r="M116" s="3"/>
      <c r="N116" s="3"/>
    </row>
    <row r="117" spans="1:14">
      <c r="A117" s="3">
        <v>9</v>
      </c>
      <c r="B117" s="3" t="s">
        <v>26</v>
      </c>
      <c r="C117" s="3">
        <v>9</v>
      </c>
      <c r="D117" s="3" t="s">
        <v>573</v>
      </c>
      <c r="E117" s="3" t="s">
        <v>574</v>
      </c>
      <c r="F117" s="3" t="s">
        <v>575</v>
      </c>
      <c r="G117" s="4">
        <f>Settings!$B$4+((A117-1)*(Settings!$B$5+Settings!$B$6)/1440)</f>
        <v>0.33333333333333331</v>
      </c>
      <c r="H117" s="4">
        <f>G117+(Settings!$B$5/1440)</f>
        <v>0.35416666666666663</v>
      </c>
      <c r="I117" s="3" t="s">
        <v>236</v>
      </c>
      <c r="J117" s="3">
        <v>45</v>
      </c>
      <c r="K117" s="3">
        <v>45.2</v>
      </c>
      <c r="L117" s="3">
        <v>70</v>
      </c>
      <c r="M117" s="3"/>
      <c r="N117" s="3"/>
    </row>
    <row r="118" spans="1:14">
      <c r="A118" s="3">
        <v>9</v>
      </c>
      <c r="B118" s="3" t="s">
        <v>29</v>
      </c>
      <c r="C118" s="3">
        <v>9</v>
      </c>
      <c r="D118" s="3" t="s">
        <v>576</v>
      </c>
      <c r="E118" s="3" t="s">
        <v>577</v>
      </c>
      <c r="F118" s="3" t="s">
        <v>578</v>
      </c>
      <c r="G118" s="4">
        <f>Settings!$B$4+((A118-1)*(Settings!$B$5+Settings!$B$6)/1440)</f>
        <v>0.33333333333333331</v>
      </c>
      <c r="H118" s="4">
        <f>G118+(Settings!$B$5/1440)</f>
        <v>0.35416666666666663</v>
      </c>
      <c r="I118" s="3" t="s">
        <v>236</v>
      </c>
      <c r="J118" s="3">
        <v>45</v>
      </c>
      <c r="K118" s="3">
        <v>45.2</v>
      </c>
      <c r="L118" s="3">
        <v>70</v>
      </c>
      <c r="M118" s="3"/>
      <c r="N118" s="3"/>
    </row>
    <row r="119" spans="1:14">
      <c r="A119" s="3">
        <v>9</v>
      </c>
      <c r="B119" s="3" t="s">
        <v>32</v>
      </c>
      <c r="C119" s="3">
        <v>9</v>
      </c>
      <c r="D119" s="3" t="s">
        <v>579</v>
      </c>
      <c r="E119" s="3" t="s">
        <v>580</v>
      </c>
      <c r="F119" s="3" t="s">
        <v>581</v>
      </c>
      <c r="G119" s="4">
        <f>Settings!$B$4+((A119-1)*(Settings!$B$5+Settings!$B$6)/1440)</f>
        <v>0.33333333333333331</v>
      </c>
      <c r="H119" s="4">
        <f>G119+(Settings!$B$5/1440)</f>
        <v>0.35416666666666663</v>
      </c>
      <c r="I119" s="3" t="s">
        <v>236</v>
      </c>
      <c r="J119" s="3">
        <v>45</v>
      </c>
      <c r="K119" s="3">
        <v>45.2</v>
      </c>
      <c r="L119" s="3">
        <v>70</v>
      </c>
      <c r="M119" s="3"/>
      <c r="N119" s="3"/>
    </row>
    <row r="120" spans="1:14">
      <c r="A120" s="3">
        <v>9</v>
      </c>
      <c r="B120" s="3" t="s">
        <v>35</v>
      </c>
      <c r="C120" s="3">
        <v>9</v>
      </c>
      <c r="D120" s="3" t="s">
        <v>582</v>
      </c>
      <c r="E120" s="3" t="s">
        <v>583</v>
      </c>
      <c r="F120" s="3" t="s">
        <v>584</v>
      </c>
      <c r="G120" s="4">
        <f>Settings!$B$4+((A120-1)*(Settings!$B$5+Settings!$B$6)/1440)</f>
        <v>0.33333333333333331</v>
      </c>
      <c r="H120" s="4">
        <f>G120+(Settings!$B$5/1440)</f>
        <v>0.35416666666666663</v>
      </c>
      <c r="I120" s="3" t="s">
        <v>236</v>
      </c>
      <c r="J120" s="3">
        <v>45</v>
      </c>
      <c r="K120" s="3">
        <v>45.2</v>
      </c>
      <c r="L120" s="3">
        <v>70</v>
      </c>
      <c r="M120" s="3"/>
      <c r="N120" s="3"/>
    </row>
    <row r="121" spans="1:14">
      <c r="A121" s="3">
        <v>9</v>
      </c>
      <c r="B121" s="3" t="s">
        <v>38</v>
      </c>
      <c r="C121" s="3">
        <v>9</v>
      </c>
      <c r="D121" s="3" t="s">
        <v>585</v>
      </c>
      <c r="E121" s="3" t="s">
        <v>586</v>
      </c>
      <c r="F121" s="3" t="s">
        <v>587</v>
      </c>
      <c r="G121" s="4">
        <f>Settings!$B$4+((A121-1)*(Settings!$B$5+Settings!$B$6)/1440)</f>
        <v>0.33333333333333331</v>
      </c>
      <c r="H121" s="4">
        <f>G121+(Settings!$B$5/1440)</f>
        <v>0.35416666666666663</v>
      </c>
      <c r="I121" s="3" t="s">
        <v>236</v>
      </c>
      <c r="J121" s="3">
        <v>45</v>
      </c>
      <c r="K121" s="3">
        <v>45.2</v>
      </c>
      <c r="L121" s="3">
        <v>70</v>
      </c>
      <c r="M121" s="3"/>
      <c r="N121" s="3"/>
    </row>
    <row r="122" spans="1:14">
      <c r="A122" s="3">
        <v>9</v>
      </c>
      <c r="B122" s="3" t="s">
        <v>39</v>
      </c>
      <c r="C122" s="3">
        <v>9</v>
      </c>
      <c r="D122" s="3" t="s">
        <v>588</v>
      </c>
      <c r="E122" s="3" t="s">
        <v>589</v>
      </c>
      <c r="F122" s="3" t="s">
        <v>590</v>
      </c>
      <c r="G122" s="4">
        <f>Settings!$B$4+((A122-1)*(Settings!$B$5+Settings!$B$6)/1440)</f>
        <v>0.33333333333333331</v>
      </c>
      <c r="H122" s="4">
        <f>G122+(Settings!$B$5/1440)</f>
        <v>0.35416666666666663</v>
      </c>
      <c r="I122" s="3" t="s">
        <v>236</v>
      </c>
      <c r="J122" s="3">
        <v>45</v>
      </c>
      <c r="K122" s="3">
        <v>45.2</v>
      </c>
      <c r="L122" s="3">
        <v>70</v>
      </c>
      <c r="M122" s="3"/>
      <c r="N122" s="3"/>
    </row>
    <row r="123" spans="1:14">
      <c r="A123" s="3">
        <v>9</v>
      </c>
      <c r="B123" s="3" t="s">
        <v>40</v>
      </c>
      <c r="C123" s="3">
        <v>9</v>
      </c>
      <c r="D123" s="3" t="s">
        <v>591</v>
      </c>
      <c r="E123" s="3" t="s">
        <v>592</v>
      </c>
      <c r="F123" s="3" t="s">
        <v>593</v>
      </c>
      <c r="G123" s="4">
        <f>Settings!$B$4+((A123-1)*(Settings!$B$5+Settings!$B$6)/1440)</f>
        <v>0.33333333333333331</v>
      </c>
      <c r="H123" s="4">
        <f>G123+(Settings!$B$5/1440)</f>
        <v>0.35416666666666663</v>
      </c>
      <c r="I123" s="3" t="s">
        <v>236</v>
      </c>
      <c r="J123" s="3">
        <v>45</v>
      </c>
      <c r="K123" s="3">
        <v>45.2</v>
      </c>
      <c r="L123" s="3">
        <v>70</v>
      </c>
      <c r="M123" s="3"/>
      <c r="N123" s="3"/>
    </row>
    <row r="124" spans="1:14">
      <c r="A124" s="3">
        <v>9</v>
      </c>
      <c r="B124" s="3" t="s">
        <v>41</v>
      </c>
      <c r="C124" s="3">
        <v>9</v>
      </c>
      <c r="D124" s="3" t="s">
        <v>594</v>
      </c>
      <c r="E124" s="3" t="s">
        <v>595</v>
      </c>
      <c r="F124" s="3" t="s">
        <v>596</v>
      </c>
      <c r="G124" s="4">
        <f>Settings!$B$4+((A124-1)*(Settings!$B$5+Settings!$B$6)/1440)</f>
        <v>0.33333333333333331</v>
      </c>
      <c r="H124" s="4">
        <f>G124+(Settings!$B$5/1440)</f>
        <v>0.35416666666666663</v>
      </c>
      <c r="I124" s="3" t="s">
        <v>236</v>
      </c>
      <c r="J124" s="3">
        <v>45</v>
      </c>
      <c r="K124" s="3">
        <v>45.2</v>
      </c>
      <c r="L124" s="3">
        <v>70</v>
      </c>
      <c r="M124" s="3"/>
      <c r="N124" s="3"/>
    </row>
    <row r="125" spans="1:14">
      <c r="A125" s="3">
        <v>9</v>
      </c>
      <c r="B125" s="3" t="s">
        <v>42</v>
      </c>
      <c r="C125" s="3">
        <v>9</v>
      </c>
      <c r="D125" s="3" t="s">
        <v>597</v>
      </c>
      <c r="E125" s="3" t="s">
        <v>598</v>
      </c>
      <c r="F125" s="3" t="s">
        <v>599</v>
      </c>
      <c r="G125" s="4">
        <f>Settings!$B$4+((A125-1)*(Settings!$B$5+Settings!$B$6)/1440)</f>
        <v>0.33333333333333331</v>
      </c>
      <c r="H125" s="4">
        <f>G125+(Settings!$B$5/1440)</f>
        <v>0.35416666666666663</v>
      </c>
      <c r="I125" s="3" t="s">
        <v>236</v>
      </c>
      <c r="J125" s="3">
        <v>45</v>
      </c>
      <c r="K125" s="3">
        <v>45.2</v>
      </c>
      <c r="L125" s="3">
        <v>70</v>
      </c>
      <c r="M125" s="3"/>
      <c r="N125" s="3"/>
    </row>
    <row r="126" spans="1:14">
      <c r="A126" s="3">
        <v>9</v>
      </c>
      <c r="B126" s="3" t="s">
        <v>45</v>
      </c>
      <c r="C126" s="3">
        <v>9</v>
      </c>
      <c r="D126" s="3" t="s">
        <v>600</v>
      </c>
      <c r="E126" s="3" t="s">
        <v>601</v>
      </c>
      <c r="F126" s="3" t="s">
        <v>602</v>
      </c>
      <c r="G126" s="4">
        <f>Settings!$B$4+((A126-1)*(Settings!$B$5+Settings!$B$6)/1440)</f>
        <v>0.33333333333333331</v>
      </c>
      <c r="H126" s="4">
        <f>G126+(Settings!$B$5/1440)</f>
        <v>0.35416666666666663</v>
      </c>
      <c r="I126" s="3" t="s">
        <v>236</v>
      </c>
      <c r="J126" s="3">
        <v>45</v>
      </c>
      <c r="K126" s="3">
        <v>45.2</v>
      </c>
      <c r="L126" s="3">
        <v>70</v>
      </c>
      <c r="M126" s="3"/>
      <c r="N126" s="3"/>
    </row>
    <row r="127" spans="1:14">
      <c r="A127" s="3">
        <v>9</v>
      </c>
      <c r="B127" s="3" t="s">
        <v>46</v>
      </c>
      <c r="C127" s="3">
        <v>9</v>
      </c>
      <c r="D127" s="3" t="s">
        <v>603</v>
      </c>
      <c r="E127" s="3" t="s">
        <v>604</v>
      </c>
      <c r="F127" s="3" t="s">
        <v>605</v>
      </c>
      <c r="G127" s="4">
        <f>Settings!$B$4+((A127-1)*(Settings!$B$5+Settings!$B$6)/1440)</f>
        <v>0.33333333333333331</v>
      </c>
      <c r="H127" s="4">
        <f>G127+(Settings!$B$5/1440)</f>
        <v>0.35416666666666663</v>
      </c>
      <c r="I127" s="3" t="s">
        <v>236</v>
      </c>
      <c r="J127" s="3">
        <v>45</v>
      </c>
      <c r="K127" s="3">
        <v>45.2</v>
      </c>
      <c r="L127" s="3">
        <v>70</v>
      </c>
      <c r="M127" s="3"/>
      <c r="N127" s="3"/>
    </row>
    <row r="128" spans="1:14">
      <c r="A128" s="3">
        <v>10</v>
      </c>
      <c r="B128" s="3" t="s">
        <v>23</v>
      </c>
      <c r="C128" s="3">
        <v>10</v>
      </c>
      <c r="D128" s="3" t="s">
        <v>606</v>
      </c>
      <c r="E128" s="3" t="s">
        <v>607</v>
      </c>
      <c r="F128" s="3" t="s">
        <v>608</v>
      </c>
      <c r="G128" s="4">
        <f>Settings!$B$4+((A128-1)*(Settings!$B$5+Settings!$B$6)/1440)</f>
        <v>0.375</v>
      </c>
      <c r="H128" s="4">
        <f>G128+(Settings!$B$5/1440)</f>
        <v>0.39583333333333331</v>
      </c>
      <c r="I128" s="3" t="s">
        <v>236</v>
      </c>
      <c r="J128" s="3">
        <v>45</v>
      </c>
      <c r="K128" s="3">
        <v>45.2</v>
      </c>
      <c r="L128" s="3">
        <v>70</v>
      </c>
      <c r="M128" s="3"/>
      <c r="N128" s="3"/>
    </row>
    <row r="129" spans="1:14">
      <c r="A129" s="3">
        <v>10</v>
      </c>
      <c r="B129" s="3" t="s">
        <v>26</v>
      </c>
      <c r="C129" s="3">
        <v>10</v>
      </c>
      <c r="D129" s="3" t="s">
        <v>609</v>
      </c>
      <c r="E129" s="3" t="s">
        <v>610</v>
      </c>
      <c r="F129" s="3" t="s">
        <v>611</v>
      </c>
      <c r="G129" s="4">
        <f>Settings!$B$4+((A129-1)*(Settings!$B$5+Settings!$B$6)/1440)</f>
        <v>0.375</v>
      </c>
      <c r="H129" s="4">
        <f>G129+(Settings!$B$5/1440)</f>
        <v>0.39583333333333331</v>
      </c>
      <c r="I129" s="3" t="s">
        <v>236</v>
      </c>
      <c r="J129" s="3">
        <v>45</v>
      </c>
      <c r="K129" s="3">
        <v>45.2</v>
      </c>
      <c r="L129" s="3">
        <v>70</v>
      </c>
      <c r="M129" s="3"/>
      <c r="N129" s="3"/>
    </row>
    <row r="130" spans="1:14">
      <c r="A130" s="3">
        <v>10</v>
      </c>
      <c r="B130" s="3" t="s">
        <v>29</v>
      </c>
      <c r="C130" s="3">
        <v>10</v>
      </c>
      <c r="D130" s="3" t="s">
        <v>612</v>
      </c>
      <c r="E130" s="3" t="s">
        <v>613</v>
      </c>
      <c r="F130" s="3" t="s">
        <v>614</v>
      </c>
      <c r="G130" s="4">
        <f>Settings!$B$4+((A130-1)*(Settings!$B$5+Settings!$B$6)/1440)</f>
        <v>0.375</v>
      </c>
      <c r="H130" s="4">
        <f>G130+(Settings!$B$5/1440)</f>
        <v>0.39583333333333331</v>
      </c>
      <c r="I130" s="3" t="s">
        <v>236</v>
      </c>
      <c r="J130" s="3">
        <v>45</v>
      </c>
      <c r="K130" s="3">
        <v>45.2</v>
      </c>
      <c r="L130" s="3">
        <v>70</v>
      </c>
      <c r="M130" s="3"/>
      <c r="N130" s="3"/>
    </row>
    <row r="131" spans="1:14">
      <c r="A131" s="3">
        <v>10</v>
      </c>
      <c r="B131" s="3" t="s">
        <v>32</v>
      </c>
      <c r="C131" s="3">
        <v>10</v>
      </c>
      <c r="D131" s="3" t="s">
        <v>615</v>
      </c>
      <c r="E131" s="3" t="s">
        <v>616</v>
      </c>
      <c r="F131" s="3" t="s">
        <v>617</v>
      </c>
      <c r="G131" s="4">
        <f>Settings!$B$4+((A131-1)*(Settings!$B$5+Settings!$B$6)/1440)</f>
        <v>0.375</v>
      </c>
      <c r="H131" s="4">
        <f>G131+(Settings!$B$5/1440)</f>
        <v>0.39583333333333331</v>
      </c>
      <c r="I131" s="3" t="s">
        <v>236</v>
      </c>
      <c r="J131" s="3">
        <v>45</v>
      </c>
      <c r="K131" s="3">
        <v>45.2</v>
      </c>
      <c r="L131" s="3">
        <v>70</v>
      </c>
      <c r="M131" s="3"/>
      <c r="N131" s="3"/>
    </row>
    <row r="132" spans="1:14">
      <c r="A132" s="3">
        <v>10</v>
      </c>
      <c r="B132" s="3" t="s">
        <v>35</v>
      </c>
      <c r="C132" s="3">
        <v>10</v>
      </c>
      <c r="D132" s="3" t="s">
        <v>618</v>
      </c>
      <c r="E132" s="3" t="s">
        <v>619</v>
      </c>
      <c r="F132" s="3" t="s">
        <v>620</v>
      </c>
      <c r="G132" s="4">
        <f>Settings!$B$4+((A132-1)*(Settings!$B$5+Settings!$B$6)/1440)</f>
        <v>0.375</v>
      </c>
      <c r="H132" s="4">
        <f>G132+(Settings!$B$5/1440)</f>
        <v>0.39583333333333331</v>
      </c>
      <c r="I132" s="3" t="s">
        <v>236</v>
      </c>
      <c r="J132" s="3">
        <v>45</v>
      </c>
      <c r="K132" s="3">
        <v>45.2</v>
      </c>
      <c r="L132" s="3">
        <v>70</v>
      </c>
      <c r="M132" s="3"/>
      <c r="N132" s="3"/>
    </row>
    <row r="133" spans="1:14">
      <c r="A133" s="3">
        <v>10</v>
      </c>
      <c r="B133" s="3" t="s">
        <v>38</v>
      </c>
      <c r="C133" s="3">
        <v>10</v>
      </c>
      <c r="D133" s="3" t="s">
        <v>621</v>
      </c>
      <c r="E133" s="3" t="s">
        <v>622</v>
      </c>
      <c r="F133" s="3" t="s">
        <v>623</v>
      </c>
      <c r="G133" s="4">
        <f>Settings!$B$4+((A133-1)*(Settings!$B$5+Settings!$B$6)/1440)</f>
        <v>0.375</v>
      </c>
      <c r="H133" s="4">
        <f>G133+(Settings!$B$5/1440)</f>
        <v>0.39583333333333331</v>
      </c>
      <c r="I133" s="3" t="s">
        <v>236</v>
      </c>
      <c r="J133" s="3">
        <v>45</v>
      </c>
      <c r="K133" s="3">
        <v>45.2</v>
      </c>
      <c r="L133" s="3">
        <v>70</v>
      </c>
      <c r="M133" s="3"/>
      <c r="N133" s="3"/>
    </row>
    <row r="134" spans="1:14">
      <c r="A134" s="3">
        <v>10</v>
      </c>
      <c r="B134" s="3" t="s">
        <v>39</v>
      </c>
      <c r="C134" s="3">
        <v>10</v>
      </c>
      <c r="D134" s="3" t="s">
        <v>624</v>
      </c>
      <c r="E134" s="3" t="s">
        <v>625</v>
      </c>
      <c r="F134" s="3" t="s">
        <v>626</v>
      </c>
      <c r="G134" s="4">
        <f>Settings!$B$4+((A134-1)*(Settings!$B$5+Settings!$B$6)/1440)</f>
        <v>0.375</v>
      </c>
      <c r="H134" s="4">
        <f>G134+(Settings!$B$5/1440)</f>
        <v>0.39583333333333331</v>
      </c>
      <c r="I134" s="3" t="s">
        <v>236</v>
      </c>
      <c r="J134" s="3">
        <v>45</v>
      </c>
      <c r="K134" s="3">
        <v>45.2</v>
      </c>
      <c r="L134" s="3">
        <v>70</v>
      </c>
      <c r="M134" s="3"/>
      <c r="N134" s="3"/>
    </row>
    <row r="135" spans="1:14">
      <c r="A135" s="3">
        <v>10</v>
      </c>
      <c r="B135" s="3" t="s">
        <v>40</v>
      </c>
      <c r="C135" s="3">
        <v>10</v>
      </c>
      <c r="D135" s="3" t="s">
        <v>627</v>
      </c>
      <c r="E135" s="3" t="s">
        <v>628</v>
      </c>
      <c r="F135" s="3" t="s">
        <v>629</v>
      </c>
      <c r="G135" s="4">
        <f>Settings!$B$4+((A135-1)*(Settings!$B$5+Settings!$B$6)/1440)</f>
        <v>0.375</v>
      </c>
      <c r="H135" s="4">
        <f>G135+(Settings!$B$5/1440)</f>
        <v>0.39583333333333331</v>
      </c>
      <c r="I135" s="3" t="s">
        <v>236</v>
      </c>
      <c r="J135" s="3">
        <v>45</v>
      </c>
      <c r="K135" s="3">
        <v>45.2</v>
      </c>
      <c r="L135" s="3">
        <v>70</v>
      </c>
      <c r="M135" s="3"/>
      <c r="N135" s="3"/>
    </row>
    <row r="136" spans="1:14">
      <c r="A136" s="3">
        <v>10</v>
      </c>
      <c r="B136" s="3" t="s">
        <v>41</v>
      </c>
      <c r="C136" s="3">
        <v>10</v>
      </c>
      <c r="D136" s="3" t="s">
        <v>630</v>
      </c>
      <c r="E136" s="3" t="s">
        <v>631</v>
      </c>
      <c r="F136" s="3" t="s">
        <v>632</v>
      </c>
      <c r="G136" s="4">
        <f>Settings!$B$4+((A136-1)*(Settings!$B$5+Settings!$B$6)/1440)</f>
        <v>0.375</v>
      </c>
      <c r="H136" s="4">
        <f>G136+(Settings!$B$5/1440)</f>
        <v>0.39583333333333331</v>
      </c>
      <c r="I136" s="3" t="s">
        <v>236</v>
      </c>
      <c r="J136" s="3">
        <v>45</v>
      </c>
      <c r="K136" s="3">
        <v>45.2</v>
      </c>
      <c r="L136" s="3">
        <v>70</v>
      </c>
      <c r="M136" s="3"/>
      <c r="N136" s="3"/>
    </row>
    <row r="137" spans="1:14">
      <c r="A137" s="3">
        <v>10</v>
      </c>
      <c r="B137" s="3" t="s">
        <v>42</v>
      </c>
      <c r="C137" s="3">
        <v>10</v>
      </c>
      <c r="D137" s="3" t="s">
        <v>633</v>
      </c>
      <c r="E137" s="3" t="s">
        <v>634</v>
      </c>
      <c r="F137" s="3" t="s">
        <v>635</v>
      </c>
      <c r="G137" s="4">
        <f>Settings!$B$4+((A137-1)*(Settings!$B$5+Settings!$B$6)/1440)</f>
        <v>0.375</v>
      </c>
      <c r="H137" s="4">
        <f>G137+(Settings!$B$5/1440)</f>
        <v>0.39583333333333331</v>
      </c>
      <c r="I137" s="3" t="s">
        <v>236</v>
      </c>
      <c r="J137" s="3">
        <v>45</v>
      </c>
      <c r="K137" s="3">
        <v>45.2</v>
      </c>
      <c r="L137" s="3">
        <v>70</v>
      </c>
      <c r="M137" s="3"/>
      <c r="N137" s="3"/>
    </row>
    <row r="138" spans="1:14">
      <c r="A138" s="3">
        <v>10</v>
      </c>
      <c r="B138" s="3" t="s">
        <v>45</v>
      </c>
      <c r="C138" s="3">
        <v>10</v>
      </c>
      <c r="D138" s="3" t="s">
        <v>636</v>
      </c>
      <c r="E138" s="3" t="s">
        <v>637</v>
      </c>
      <c r="F138" s="3" t="s">
        <v>638</v>
      </c>
      <c r="G138" s="4">
        <f>Settings!$B$4+((A138-1)*(Settings!$B$5+Settings!$B$6)/1440)</f>
        <v>0.375</v>
      </c>
      <c r="H138" s="4">
        <f>G138+(Settings!$B$5/1440)</f>
        <v>0.39583333333333331</v>
      </c>
      <c r="I138" s="3" t="s">
        <v>236</v>
      </c>
      <c r="J138" s="3">
        <v>45</v>
      </c>
      <c r="K138" s="3">
        <v>45.2</v>
      </c>
      <c r="L138" s="3">
        <v>70</v>
      </c>
      <c r="M138" s="3"/>
      <c r="N138" s="3"/>
    </row>
    <row r="139" spans="1:14">
      <c r="A139" s="3">
        <v>10</v>
      </c>
      <c r="B139" s="3" t="s">
        <v>46</v>
      </c>
      <c r="C139" s="3">
        <v>10</v>
      </c>
      <c r="D139" s="3" t="s">
        <v>639</v>
      </c>
      <c r="E139" s="3" t="s">
        <v>640</v>
      </c>
      <c r="F139" s="3" t="s">
        <v>641</v>
      </c>
      <c r="G139" s="4">
        <f>Settings!$B$4+((A139-1)*(Settings!$B$5+Settings!$B$6)/1440)</f>
        <v>0.375</v>
      </c>
      <c r="H139" s="4">
        <f>G139+(Settings!$B$5/1440)</f>
        <v>0.39583333333333331</v>
      </c>
      <c r="I139" s="3" t="s">
        <v>236</v>
      </c>
      <c r="J139" s="3">
        <v>45</v>
      </c>
      <c r="K139" s="3">
        <v>45.2</v>
      </c>
      <c r="L139" s="3">
        <v>70</v>
      </c>
      <c r="M139" s="3"/>
      <c r="N139" s="3"/>
    </row>
    <row r="140" spans="1:14">
      <c r="A140" s="3">
        <v>11</v>
      </c>
      <c r="B140" s="3" t="s">
        <v>23</v>
      </c>
      <c r="C140" s="3">
        <v>11</v>
      </c>
      <c r="D140" s="3" t="s">
        <v>642</v>
      </c>
      <c r="E140" s="3" t="s">
        <v>643</v>
      </c>
      <c r="F140" s="3" t="s">
        <v>644</v>
      </c>
      <c r="G140" s="4">
        <f>Settings!$B$4+((A140-1)*(Settings!$B$5+Settings!$B$6)/1440)</f>
        <v>0.41666666666666669</v>
      </c>
      <c r="H140" s="4">
        <f>G140+(Settings!$B$5/1440)</f>
        <v>0.4375</v>
      </c>
      <c r="I140" s="3" t="s">
        <v>236</v>
      </c>
      <c r="J140" s="3">
        <v>45</v>
      </c>
      <c r="K140" s="3">
        <v>45.2</v>
      </c>
      <c r="L140" s="3">
        <v>70</v>
      </c>
      <c r="M140" s="3"/>
      <c r="N140" s="3"/>
    </row>
    <row r="141" spans="1:14">
      <c r="A141" s="3">
        <v>11</v>
      </c>
      <c r="B141" s="3" t="s">
        <v>29</v>
      </c>
      <c r="C141" s="3">
        <v>11</v>
      </c>
      <c r="D141" s="3" t="s">
        <v>645</v>
      </c>
      <c r="E141" s="3" t="s">
        <v>646</v>
      </c>
      <c r="F141" s="3" t="s">
        <v>647</v>
      </c>
      <c r="G141" s="4">
        <f>Settings!$B$4+((A141-1)*(Settings!$B$5+Settings!$B$6)/1440)</f>
        <v>0.41666666666666669</v>
      </c>
      <c r="H141" s="4">
        <f>G141+(Settings!$B$5/1440)</f>
        <v>0.4375</v>
      </c>
      <c r="I141" s="3" t="s">
        <v>236</v>
      </c>
      <c r="J141" s="3">
        <v>45</v>
      </c>
      <c r="K141" s="3">
        <v>45.2</v>
      </c>
      <c r="L141" s="3">
        <v>70</v>
      </c>
      <c r="M141" s="3"/>
      <c r="N141" s="3"/>
    </row>
    <row r="142" spans="1:14">
      <c r="A142" s="3">
        <v>11</v>
      </c>
      <c r="B142" s="3" t="s">
        <v>35</v>
      </c>
      <c r="C142" s="3">
        <v>11</v>
      </c>
      <c r="D142" s="3" t="s">
        <v>648</v>
      </c>
      <c r="E142" s="3" t="s">
        <v>649</v>
      </c>
      <c r="F142" s="3" t="s">
        <v>650</v>
      </c>
      <c r="G142" s="4">
        <f>Settings!$B$4+((A142-1)*(Settings!$B$5+Settings!$B$6)/1440)</f>
        <v>0.41666666666666669</v>
      </c>
      <c r="H142" s="4">
        <f>G142+(Settings!$B$5/1440)</f>
        <v>0.4375</v>
      </c>
      <c r="I142" s="3" t="s">
        <v>236</v>
      </c>
      <c r="J142" s="3">
        <v>45</v>
      </c>
      <c r="K142" s="3">
        <v>45.2</v>
      </c>
      <c r="L142" s="3">
        <v>70</v>
      </c>
      <c r="M142" s="3"/>
      <c r="N142" s="3"/>
    </row>
    <row r="143" spans="1:14">
      <c r="A143" s="3">
        <v>11</v>
      </c>
      <c r="B143" s="3" t="s">
        <v>38</v>
      </c>
      <c r="C143" s="3">
        <v>11</v>
      </c>
      <c r="D143" s="3" t="s">
        <v>651</v>
      </c>
      <c r="E143" s="3" t="s">
        <v>652</v>
      </c>
      <c r="F143" s="3" t="s">
        <v>653</v>
      </c>
      <c r="G143" s="4">
        <f>Settings!$B$4+((A143-1)*(Settings!$B$5+Settings!$B$6)/1440)</f>
        <v>0.41666666666666669</v>
      </c>
      <c r="H143" s="4">
        <f>G143+(Settings!$B$5/1440)</f>
        <v>0.4375</v>
      </c>
      <c r="I143" s="3" t="s">
        <v>236</v>
      </c>
      <c r="J143" s="3">
        <v>45</v>
      </c>
      <c r="K143" s="3">
        <v>45.2</v>
      </c>
      <c r="L143" s="3">
        <v>70</v>
      </c>
      <c r="M143" s="3"/>
      <c r="N143" s="3"/>
    </row>
    <row r="144" spans="1:14">
      <c r="A144" s="3">
        <v>11</v>
      </c>
      <c r="B144" s="3" t="s">
        <v>39</v>
      </c>
      <c r="C144" s="3">
        <v>11</v>
      </c>
      <c r="D144" s="3" t="s">
        <v>654</v>
      </c>
      <c r="E144" s="3" t="s">
        <v>655</v>
      </c>
      <c r="F144" s="3" t="s">
        <v>656</v>
      </c>
      <c r="G144" s="4">
        <f>Settings!$B$4+((A144-1)*(Settings!$B$5+Settings!$B$6)/1440)</f>
        <v>0.41666666666666669</v>
      </c>
      <c r="H144" s="4">
        <f>G144+(Settings!$B$5/1440)</f>
        <v>0.4375</v>
      </c>
      <c r="I144" s="3" t="s">
        <v>236</v>
      </c>
      <c r="J144" s="3">
        <v>45</v>
      </c>
      <c r="K144" s="3">
        <v>45.2</v>
      </c>
      <c r="L144" s="3">
        <v>70</v>
      </c>
      <c r="M144" s="3"/>
      <c r="N144" s="3"/>
    </row>
    <row r="145" spans="1:14">
      <c r="A145" s="3">
        <v>11</v>
      </c>
      <c r="B145" s="3" t="s">
        <v>40</v>
      </c>
      <c r="C145" s="3">
        <v>11</v>
      </c>
      <c r="D145" s="3" t="s">
        <v>657</v>
      </c>
      <c r="E145" s="3" t="s">
        <v>658</v>
      </c>
      <c r="F145" s="3" t="s">
        <v>659</v>
      </c>
      <c r="G145" s="4">
        <f>Settings!$B$4+((A145-1)*(Settings!$B$5+Settings!$B$6)/1440)</f>
        <v>0.41666666666666669</v>
      </c>
      <c r="H145" s="4">
        <f>G145+(Settings!$B$5/1440)</f>
        <v>0.4375</v>
      </c>
      <c r="I145" s="3" t="s">
        <v>236</v>
      </c>
      <c r="J145" s="3">
        <v>45</v>
      </c>
      <c r="K145" s="3">
        <v>45.2</v>
      </c>
      <c r="L145" s="3">
        <v>70</v>
      </c>
      <c r="M145" s="3"/>
      <c r="N145" s="3"/>
    </row>
    <row r="146" spans="1:14">
      <c r="A146" s="3">
        <v>11</v>
      </c>
      <c r="B146" s="3" t="s">
        <v>41</v>
      </c>
      <c r="C146" s="3">
        <v>11</v>
      </c>
      <c r="D146" s="3" t="s">
        <v>660</v>
      </c>
      <c r="E146" s="3" t="s">
        <v>661</v>
      </c>
      <c r="F146" s="3" t="s">
        <v>662</v>
      </c>
      <c r="G146" s="4">
        <f>Settings!$B$4+((A146-1)*(Settings!$B$5+Settings!$B$6)/1440)</f>
        <v>0.41666666666666669</v>
      </c>
      <c r="H146" s="4">
        <f>G146+(Settings!$B$5/1440)</f>
        <v>0.4375</v>
      </c>
      <c r="I146" s="3" t="s">
        <v>236</v>
      </c>
      <c r="J146" s="3">
        <v>45</v>
      </c>
      <c r="K146" s="3">
        <v>45.2</v>
      </c>
      <c r="L146" s="3">
        <v>70</v>
      </c>
      <c r="M146" s="3"/>
      <c r="N146" s="3"/>
    </row>
    <row r="147" spans="1:14">
      <c r="A147" s="3">
        <v>11</v>
      </c>
      <c r="B147" s="3" t="s">
        <v>45</v>
      </c>
      <c r="C147" s="3">
        <v>11</v>
      </c>
      <c r="D147" s="3" t="s">
        <v>663</v>
      </c>
      <c r="E147" s="3" t="s">
        <v>664</v>
      </c>
      <c r="F147" s="3" t="s">
        <v>665</v>
      </c>
      <c r="G147" s="4">
        <f>Settings!$B$4+((A147-1)*(Settings!$B$5+Settings!$B$6)/1440)</f>
        <v>0.41666666666666669</v>
      </c>
      <c r="H147" s="4">
        <f>G147+(Settings!$B$5/1440)</f>
        <v>0.4375</v>
      </c>
      <c r="I147" s="3" t="s">
        <v>236</v>
      </c>
      <c r="J147" s="3">
        <v>45</v>
      </c>
      <c r="K147" s="3">
        <v>45.2</v>
      </c>
      <c r="L147" s="3">
        <v>70</v>
      </c>
      <c r="M147" s="3"/>
      <c r="N147" s="3"/>
    </row>
    <row r="148" spans="1:14">
      <c r="A148" s="3">
        <v>11</v>
      </c>
      <c r="B148" s="3" t="s">
        <v>46</v>
      </c>
      <c r="C148" s="3">
        <v>11</v>
      </c>
      <c r="D148" s="3" t="s">
        <v>666</v>
      </c>
      <c r="E148" s="3" t="s">
        <v>667</v>
      </c>
      <c r="F148" s="3" t="s">
        <v>668</v>
      </c>
      <c r="G148" s="4">
        <f>Settings!$B$4+((A148-1)*(Settings!$B$5+Settings!$B$6)/1440)</f>
        <v>0.41666666666666669</v>
      </c>
      <c r="H148" s="4">
        <f>G148+(Settings!$B$5/1440)</f>
        <v>0.4375</v>
      </c>
      <c r="I148" s="3" t="s">
        <v>236</v>
      </c>
      <c r="J148" s="3">
        <v>45</v>
      </c>
      <c r="K148" s="3">
        <v>45.2</v>
      </c>
      <c r="L148" s="3">
        <v>70</v>
      </c>
      <c r="M148" s="3"/>
      <c r="N148" s="3"/>
    </row>
    <row r="149" spans="1:14">
      <c r="A149" s="3">
        <v>12</v>
      </c>
      <c r="B149" s="3" t="s">
        <v>35</v>
      </c>
      <c r="C149" s="3">
        <v>12</v>
      </c>
      <c r="D149" s="3" t="s">
        <v>669</v>
      </c>
      <c r="E149" s="3" t="s">
        <v>670</v>
      </c>
      <c r="F149" s="3" t="s">
        <v>671</v>
      </c>
      <c r="G149" s="4">
        <f>Settings!$B$4+((A149-1)*(Settings!$B$5+Settings!$B$6)/1440)</f>
        <v>0.45833333333333331</v>
      </c>
      <c r="H149" s="4">
        <f>G149+(Settings!$B$5/1440)</f>
        <v>0.47916666666666663</v>
      </c>
      <c r="I149" s="3" t="s">
        <v>236</v>
      </c>
      <c r="J149" s="3">
        <v>45</v>
      </c>
      <c r="K149" s="3">
        <v>45.2</v>
      </c>
      <c r="L149" s="3">
        <v>70</v>
      </c>
      <c r="M149" s="3"/>
      <c r="N149" s="3"/>
    </row>
    <row r="150" spans="1:14">
      <c r="A150" s="3">
        <v>12</v>
      </c>
      <c r="B150" s="3" t="s">
        <v>38</v>
      </c>
      <c r="C150" s="3">
        <v>12</v>
      </c>
      <c r="D150" s="3" t="s">
        <v>672</v>
      </c>
      <c r="E150" s="3" t="s">
        <v>673</v>
      </c>
      <c r="F150" s="3" t="s">
        <v>674</v>
      </c>
      <c r="G150" s="4">
        <f>Settings!$B$4+((A150-1)*(Settings!$B$5+Settings!$B$6)/1440)</f>
        <v>0.45833333333333331</v>
      </c>
      <c r="H150" s="4">
        <f>G150+(Settings!$B$5/1440)</f>
        <v>0.47916666666666663</v>
      </c>
      <c r="I150" s="3" t="s">
        <v>236</v>
      </c>
      <c r="J150" s="3">
        <v>45</v>
      </c>
      <c r="K150" s="3">
        <v>45.2</v>
      </c>
      <c r="L150" s="3">
        <v>70</v>
      </c>
      <c r="M150" s="3"/>
      <c r="N150" s="3"/>
    </row>
    <row r="151" spans="1:14">
      <c r="A151" s="3">
        <v>12</v>
      </c>
      <c r="B151" s="3" t="s">
        <v>40</v>
      </c>
      <c r="C151" s="3">
        <v>12</v>
      </c>
      <c r="D151" s="3" t="s">
        <v>675</v>
      </c>
      <c r="E151" s="3" t="s">
        <v>676</v>
      </c>
      <c r="F151" s="3" t="s">
        <v>677</v>
      </c>
      <c r="G151" s="4">
        <f>Settings!$B$4+((A151-1)*(Settings!$B$5+Settings!$B$6)/1440)</f>
        <v>0.45833333333333331</v>
      </c>
      <c r="H151" s="4">
        <f>G151+(Settings!$B$5/1440)</f>
        <v>0.47916666666666663</v>
      </c>
      <c r="I151" s="3" t="s">
        <v>236</v>
      </c>
      <c r="J151" s="3">
        <v>45</v>
      </c>
      <c r="K151" s="3">
        <v>45.2</v>
      </c>
      <c r="L151" s="3">
        <v>70</v>
      </c>
      <c r="M151" s="3"/>
      <c r="N151" s="3"/>
    </row>
    <row r="152" spans="1:14">
      <c r="A152" s="3">
        <v>12</v>
      </c>
      <c r="B152" s="3" t="s">
        <v>41</v>
      </c>
      <c r="C152" s="3">
        <v>12</v>
      </c>
      <c r="D152" s="3" t="s">
        <v>678</v>
      </c>
      <c r="E152" s="3" t="s">
        <v>679</v>
      </c>
      <c r="F152" s="3" t="s">
        <v>680</v>
      </c>
      <c r="G152" s="4">
        <f>Settings!$B$4+((A152-1)*(Settings!$B$5+Settings!$B$6)/1440)</f>
        <v>0.45833333333333331</v>
      </c>
      <c r="H152" s="4">
        <f>G152+(Settings!$B$5/1440)</f>
        <v>0.47916666666666663</v>
      </c>
      <c r="I152" s="3" t="s">
        <v>236</v>
      </c>
      <c r="J152" s="3">
        <v>45</v>
      </c>
      <c r="K152" s="3">
        <v>45.2</v>
      </c>
      <c r="L152" s="3">
        <v>70</v>
      </c>
      <c r="M152" s="3"/>
      <c r="N152" s="3"/>
    </row>
    <row r="153" spans="1:14">
      <c r="A153" s="3">
        <v>12</v>
      </c>
      <c r="B153" s="3" t="s">
        <v>45</v>
      </c>
      <c r="C153" s="3">
        <v>12</v>
      </c>
      <c r="D153" s="3" t="s">
        <v>681</v>
      </c>
      <c r="E153" s="3" t="s">
        <v>682</v>
      </c>
      <c r="F153" s="3" t="s">
        <v>683</v>
      </c>
      <c r="G153" s="4">
        <f>Settings!$B$4+((A153-1)*(Settings!$B$5+Settings!$B$6)/1440)</f>
        <v>0.45833333333333331</v>
      </c>
      <c r="H153" s="4">
        <f>G153+(Settings!$B$5/1440)</f>
        <v>0.47916666666666663</v>
      </c>
      <c r="I153" s="3" t="s">
        <v>236</v>
      </c>
      <c r="J153" s="3">
        <v>45</v>
      </c>
      <c r="K153" s="3">
        <v>45.2</v>
      </c>
      <c r="L153" s="3">
        <v>70</v>
      </c>
      <c r="M153" s="3"/>
      <c r="N153" s="3"/>
    </row>
    <row r="154" spans="1:14">
      <c r="A154" s="3">
        <v>12</v>
      </c>
      <c r="B154" s="3" t="s">
        <v>46</v>
      </c>
      <c r="C154" s="3">
        <v>12</v>
      </c>
      <c r="D154" s="3" t="s">
        <v>684</v>
      </c>
      <c r="E154" s="3" t="s">
        <v>685</v>
      </c>
      <c r="F154" s="3" t="s">
        <v>686</v>
      </c>
      <c r="G154" s="4">
        <f>Settings!$B$4+((A154-1)*(Settings!$B$5+Settings!$B$6)/1440)</f>
        <v>0.45833333333333331</v>
      </c>
      <c r="H154" s="4">
        <f>G154+(Settings!$B$5/1440)</f>
        <v>0.47916666666666663</v>
      </c>
      <c r="I154" s="3" t="s">
        <v>236</v>
      </c>
      <c r="J154" s="3">
        <v>45</v>
      </c>
      <c r="K154" s="3">
        <v>45.2</v>
      </c>
      <c r="L154" s="3">
        <v>70</v>
      </c>
      <c r="M154" s="3"/>
      <c r="N154" s="3"/>
    </row>
    <row r="155" spans="1:14">
      <c r="A155" s="3">
        <v>13</v>
      </c>
      <c r="B155" s="3" t="s">
        <v>35</v>
      </c>
      <c r="C155" s="3">
        <v>13</v>
      </c>
      <c r="D155" s="3" t="s">
        <v>687</v>
      </c>
      <c r="E155" s="3" t="s">
        <v>688</v>
      </c>
      <c r="F155" s="3" t="s">
        <v>689</v>
      </c>
      <c r="G155" s="4">
        <f>Settings!$B$4+((A155-1)*(Settings!$B$5+Settings!$B$6)/1440)</f>
        <v>0.5</v>
      </c>
      <c r="H155" s="4">
        <f>G155+(Settings!$B$5/1440)</f>
        <v>0.52083333333333337</v>
      </c>
      <c r="I155" s="3" t="s">
        <v>236</v>
      </c>
      <c r="J155" s="3">
        <v>45</v>
      </c>
      <c r="K155" s="3">
        <v>45.2</v>
      </c>
      <c r="L155" s="3">
        <v>70</v>
      </c>
      <c r="M155" s="3"/>
      <c r="N155" s="3"/>
    </row>
    <row r="156" spans="1:14">
      <c r="A156" s="3">
        <v>13</v>
      </c>
      <c r="B156" s="3" t="s">
        <v>38</v>
      </c>
      <c r="C156" s="3">
        <v>13</v>
      </c>
      <c r="D156" s="3" t="s">
        <v>690</v>
      </c>
      <c r="E156" s="3" t="s">
        <v>691</v>
      </c>
      <c r="F156" s="3" t="s">
        <v>692</v>
      </c>
      <c r="G156" s="4">
        <f>Settings!$B$4+((A156-1)*(Settings!$B$5+Settings!$B$6)/1440)</f>
        <v>0.5</v>
      </c>
      <c r="H156" s="4">
        <f>G156+(Settings!$B$5/1440)</f>
        <v>0.52083333333333337</v>
      </c>
      <c r="I156" s="3" t="s">
        <v>236</v>
      </c>
      <c r="J156" s="3">
        <v>45</v>
      </c>
      <c r="K156" s="3">
        <v>45.2</v>
      </c>
      <c r="L156" s="3">
        <v>70</v>
      </c>
      <c r="M156" s="3"/>
      <c r="N156" s="3"/>
    </row>
    <row r="157" spans="1:14">
      <c r="A157" s="3">
        <v>13</v>
      </c>
      <c r="B157" s="3" t="s">
        <v>41</v>
      </c>
      <c r="C157" s="3">
        <v>13</v>
      </c>
      <c r="D157" s="3" t="s">
        <v>693</v>
      </c>
      <c r="E157" s="3" t="s">
        <v>694</v>
      </c>
      <c r="F157" s="3" t="s">
        <v>695</v>
      </c>
      <c r="G157" s="4">
        <f>Settings!$B$4+((A157-1)*(Settings!$B$5+Settings!$B$6)/1440)</f>
        <v>0.5</v>
      </c>
      <c r="H157" s="4">
        <f>G157+(Settings!$B$5/1440)</f>
        <v>0.52083333333333337</v>
      </c>
      <c r="I157" s="3" t="s">
        <v>236</v>
      </c>
      <c r="J157" s="3">
        <v>45</v>
      </c>
      <c r="K157" s="3">
        <v>45.2</v>
      </c>
      <c r="L157" s="3">
        <v>70</v>
      </c>
      <c r="M157" s="3"/>
      <c r="N157" s="3"/>
    </row>
    <row r="158" spans="1:14">
      <c r="A158" s="3">
        <v>13</v>
      </c>
      <c r="B158" s="3" t="s">
        <v>45</v>
      </c>
      <c r="C158" s="3">
        <v>13</v>
      </c>
      <c r="D158" s="3" t="s">
        <v>696</v>
      </c>
      <c r="E158" s="3" t="s">
        <v>697</v>
      </c>
      <c r="F158" s="3" t="s">
        <v>698</v>
      </c>
      <c r="G158" s="4">
        <f>Settings!$B$4+((A158-1)*(Settings!$B$5+Settings!$B$6)/1440)</f>
        <v>0.5</v>
      </c>
      <c r="H158" s="4">
        <f>G158+(Settings!$B$5/1440)</f>
        <v>0.52083333333333337</v>
      </c>
      <c r="I158" s="3" t="s">
        <v>236</v>
      </c>
      <c r="J158" s="3">
        <v>45</v>
      </c>
      <c r="K158" s="3">
        <v>45.2</v>
      </c>
      <c r="L158" s="3">
        <v>70</v>
      </c>
      <c r="M158" s="3"/>
      <c r="N158" s="3"/>
    </row>
    <row r="159" spans="1:14">
      <c r="A159" s="3">
        <v>13</v>
      </c>
      <c r="B159" s="3" t="s">
        <v>46</v>
      </c>
      <c r="C159" s="3">
        <v>13</v>
      </c>
      <c r="D159" s="3" t="s">
        <v>699</v>
      </c>
      <c r="E159" s="3" t="s">
        <v>700</v>
      </c>
      <c r="F159" s="3" t="s">
        <v>701</v>
      </c>
      <c r="G159" s="4">
        <f>Settings!$B$4+((A159-1)*(Settings!$B$5+Settings!$B$6)/1440)</f>
        <v>0.5</v>
      </c>
      <c r="H159" s="4">
        <f>G159+(Settings!$B$5/1440)</f>
        <v>0.52083333333333337</v>
      </c>
      <c r="I159" s="3" t="s">
        <v>236</v>
      </c>
      <c r="J159" s="3">
        <v>45</v>
      </c>
      <c r="K159" s="3">
        <v>45.2</v>
      </c>
      <c r="L159" s="3">
        <v>70</v>
      </c>
      <c r="M159" s="3"/>
      <c r="N159" s="3"/>
    </row>
    <row r="160" spans="1:14">
      <c r="A160" s="3">
        <v>14</v>
      </c>
      <c r="B160" s="3" t="s">
        <v>35</v>
      </c>
      <c r="C160" s="3">
        <v>14</v>
      </c>
      <c r="D160" s="3" t="s">
        <v>702</v>
      </c>
      <c r="E160" s="3" t="s">
        <v>703</v>
      </c>
      <c r="F160" s="3" t="s">
        <v>704</v>
      </c>
      <c r="G160" s="4">
        <f>Settings!$B$4+((A160-1)*(Settings!$B$5+Settings!$B$6)/1440)</f>
        <v>0.54166666666666663</v>
      </c>
      <c r="H160" s="4">
        <f>G160+(Settings!$B$5/1440)</f>
        <v>0.5625</v>
      </c>
      <c r="I160" s="3" t="s">
        <v>236</v>
      </c>
      <c r="J160" s="3">
        <v>45</v>
      </c>
      <c r="K160" s="3">
        <v>45.2</v>
      </c>
      <c r="L160" s="3">
        <v>70</v>
      </c>
      <c r="M160" s="3"/>
      <c r="N160" s="3"/>
    </row>
    <row r="161" spans="1:14">
      <c r="A161" s="3">
        <v>14</v>
      </c>
      <c r="B161" s="3" t="s">
        <v>38</v>
      </c>
      <c r="C161" s="3">
        <v>14</v>
      </c>
      <c r="D161" s="3" t="s">
        <v>705</v>
      </c>
      <c r="E161" s="3" t="s">
        <v>706</v>
      </c>
      <c r="F161" s="3" t="s">
        <v>707</v>
      </c>
      <c r="G161" s="4">
        <f>Settings!$B$4+((A161-1)*(Settings!$B$5+Settings!$B$6)/1440)</f>
        <v>0.54166666666666663</v>
      </c>
      <c r="H161" s="4">
        <f>G161+(Settings!$B$5/1440)</f>
        <v>0.5625</v>
      </c>
      <c r="I161" s="3" t="s">
        <v>236</v>
      </c>
      <c r="J161" s="3">
        <v>45</v>
      </c>
      <c r="K161" s="3">
        <v>45.2</v>
      </c>
      <c r="L161" s="3">
        <v>70</v>
      </c>
      <c r="M161" s="3"/>
      <c r="N161" s="3"/>
    </row>
    <row r="162" spans="1:14">
      <c r="A162" s="3">
        <v>14</v>
      </c>
      <c r="B162" s="3" t="s">
        <v>41</v>
      </c>
      <c r="C162" s="3">
        <v>14</v>
      </c>
      <c r="D162" s="3" t="s">
        <v>708</v>
      </c>
      <c r="E162" s="3" t="s">
        <v>709</v>
      </c>
      <c r="F162" s="3" t="s">
        <v>710</v>
      </c>
      <c r="G162" s="4">
        <f>Settings!$B$4+((A162-1)*(Settings!$B$5+Settings!$B$6)/1440)</f>
        <v>0.54166666666666663</v>
      </c>
      <c r="H162" s="4">
        <f>G162+(Settings!$B$5/1440)</f>
        <v>0.5625</v>
      </c>
      <c r="I162" s="3" t="s">
        <v>236</v>
      </c>
      <c r="J162" s="3">
        <v>45</v>
      </c>
      <c r="K162" s="3">
        <v>45.2</v>
      </c>
      <c r="L162" s="3">
        <v>70</v>
      </c>
      <c r="M162" s="3"/>
      <c r="N162" s="3"/>
    </row>
    <row r="163" spans="1:14">
      <c r="A163" s="3">
        <v>14</v>
      </c>
      <c r="B163" s="3" t="s">
        <v>46</v>
      </c>
      <c r="C163" s="3">
        <v>14</v>
      </c>
      <c r="D163" s="3" t="s">
        <v>711</v>
      </c>
      <c r="E163" s="3" t="s">
        <v>712</v>
      </c>
      <c r="F163" s="3" t="s">
        <v>713</v>
      </c>
      <c r="G163" s="4">
        <f>Settings!$B$4+((A163-1)*(Settings!$B$5+Settings!$B$6)/1440)</f>
        <v>0.54166666666666663</v>
      </c>
      <c r="H163" s="4">
        <f>G163+(Settings!$B$5/1440)</f>
        <v>0.5625</v>
      </c>
      <c r="I163" s="3" t="s">
        <v>236</v>
      </c>
      <c r="J163" s="3">
        <v>45</v>
      </c>
      <c r="K163" s="3">
        <v>45.2</v>
      </c>
      <c r="L163" s="3">
        <v>70</v>
      </c>
      <c r="M163" s="3"/>
      <c r="N163" s="3"/>
    </row>
    <row r="164" spans="1:14">
      <c r="A164" s="3">
        <v>15</v>
      </c>
      <c r="B164" s="3" t="s">
        <v>35</v>
      </c>
      <c r="C164" s="3">
        <v>15</v>
      </c>
      <c r="D164" s="3" t="s">
        <v>714</v>
      </c>
      <c r="E164" s="3" t="s">
        <v>715</v>
      </c>
      <c r="F164" s="3" t="s">
        <v>716</v>
      </c>
      <c r="G164" s="4">
        <f>Settings!$B$4+((A164-1)*(Settings!$B$5+Settings!$B$6)/1440)</f>
        <v>0.58333333333333337</v>
      </c>
      <c r="H164" s="4">
        <f>G164+(Settings!$B$5/1440)</f>
        <v>0.60416666666666674</v>
      </c>
      <c r="I164" s="3" t="s">
        <v>236</v>
      </c>
      <c r="J164" s="3">
        <v>45</v>
      </c>
      <c r="K164" s="3">
        <v>45.2</v>
      </c>
      <c r="L164" s="3">
        <v>70</v>
      </c>
      <c r="M164" s="3"/>
      <c r="N164" s="3"/>
    </row>
    <row r="165" spans="1:14">
      <c r="A165" s="3">
        <v>15</v>
      </c>
      <c r="B165" s="3" t="s">
        <v>38</v>
      </c>
      <c r="C165" s="3">
        <v>15</v>
      </c>
      <c r="D165" s="3" t="s">
        <v>717</v>
      </c>
      <c r="E165" s="3" t="s">
        <v>718</v>
      </c>
      <c r="F165" s="3" t="s">
        <v>719</v>
      </c>
      <c r="G165" s="4">
        <f>Settings!$B$4+((A165-1)*(Settings!$B$5+Settings!$B$6)/1440)</f>
        <v>0.58333333333333337</v>
      </c>
      <c r="H165" s="4">
        <f>G165+(Settings!$B$5/1440)</f>
        <v>0.60416666666666674</v>
      </c>
      <c r="I165" s="3" t="s">
        <v>236</v>
      </c>
      <c r="J165" s="3">
        <v>45</v>
      </c>
      <c r="K165" s="3">
        <v>45.2</v>
      </c>
      <c r="L165" s="3">
        <v>70</v>
      </c>
      <c r="M165" s="3"/>
      <c r="N165" s="3"/>
    </row>
    <row r="166" spans="1:14">
      <c r="A166" s="3">
        <v>15</v>
      </c>
      <c r="B166" s="3" t="s">
        <v>41</v>
      </c>
      <c r="C166" s="3">
        <v>15</v>
      </c>
      <c r="D166" s="3" t="s">
        <v>720</v>
      </c>
      <c r="E166" s="3" t="s">
        <v>721</v>
      </c>
      <c r="F166" s="3" t="s">
        <v>722</v>
      </c>
      <c r="G166" s="4">
        <f>Settings!$B$4+((A166-1)*(Settings!$B$5+Settings!$B$6)/1440)</f>
        <v>0.58333333333333337</v>
      </c>
      <c r="H166" s="4">
        <f>G166+(Settings!$B$5/1440)</f>
        <v>0.60416666666666674</v>
      </c>
      <c r="I166" s="3" t="s">
        <v>236</v>
      </c>
      <c r="J166" s="3">
        <v>45</v>
      </c>
      <c r="K166" s="3">
        <v>45.2</v>
      </c>
      <c r="L166" s="3">
        <v>70</v>
      </c>
      <c r="M166" s="3"/>
      <c r="N166" s="3"/>
    </row>
    <row r="167" spans="1:14">
      <c r="A167" s="3">
        <v>15</v>
      </c>
      <c r="B167" s="3" t="s">
        <v>46</v>
      </c>
      <c r="C167" s="3">
        <v>15</v>
      </c>
      <c r="D167" s="3" t="s">
        <v>723</v>
      </c>
      <c r="E167" s="3" t="s">
        <v>724</v>
      </c>
      <c r="F167" s="3" t="s">
        <v>725</v>
      </c>
      <c r="G167" s="4">
        <f>Settings!$B$4+((A167-1)*(Settings!$B$5+Settings!$B$6)/1440)</f>
        <v>0.58333333333333337</v>
      </c>
      <c r="H167" s="4">
        <f>G167+(Settings!$B$5/1440)</f>
        <v>0.60416666666666674</v>
      </c>
      <c r="I167" s="3" t="s">
        <v>236</v>
      </c>
      <c r="J167" s="3">
        <v>45</v>
      </c>
      <c r="K167" s="3">
        <v>45.2</v>
      </c>
      <c r="L167" s="3">
        <v>70</v>
      </c>
      <c r="M167" s="3"/>
      <c r="N167" s="3"/>
    </row>
    <row r="168" spans="1:14">
      <c r="A168" s="3">
        <v>16</v>
      </c>
      <c r="B168" s="3" t="s">
        <v>35</v>
      </c>
      <c r="C168" s="3">
        <v>16</v>
      </c>
      <c r="D168" s="3" t="s">
        <v>726</v>
      </c>
      <c r="E168" s="3" t="s">
        <v>727</v>
      </c>
      <c r="F168" s="3" t="s">
        <v>728</v>
      </c>
      <c r="G168" s="4">
        <f>Settings!$B$4+((A168-1)*(Settings!$B$5+Settings!$B$6)/1440)</f>
        <v>0.625</v>
      </c>
      <c r="H168" s="4">
        <f>G168+(Settings!$B$5/1440)</f>
        <v>0.64583333333333337</v>
      </c>
      <c r="I168" s="3" t="s">
        <v>236</v>
      </c>
      <c r="J168" s="3">
        <v>45</v>
      </c>
      <c r="K168" s="3">
        <v>45.2</v>
      </c>
      <c r="L168" s="3">
        <v>70</v>
      </c>
      <c r="M168" s="3"/>
      <c r="N168" s="3"/>
    </row>
    <row r="169" spans="1:14">
      <c r="A169" s="3">
        <v>16</v>
      </c>
      <c r="B169" s="3" t="s">
        <v>38</v>
      </c>
      <c r="C169" s="3">
        <v>16</v>
      </c>
      <c r="D169" s="3" t="s">
        <v>729</v>
      </c>
      <c r="E169" s="3" t="s">
        <v>730</v>
      </c>
      <c r="F169" s="3" t="s">
        <v>731</v>
      </c>
      <c r="G169" s="4">
        <f>Settings!$B$4+((A169-1)*(Settings!$B$5+Settings!$B$6)/1440)</f>
        <v>0.625</v>
      </c>
      <c r="H169" s="4">
        <f>G169+(Settings!$B$5/1440)</f>
        <v>0.64583333333333337</v>
      </c>
      <c r="I169" s="3" t="s">
        <v>236</v>
      </c>
      <c r="J169" s="3">
        <v>45</v>
      </c>
      <c r="K169" s="3">
        <v>45.2</v>
      </c>
      <c r="L169" s="3">
        <v>70</v>
      </c>
      <c r="M169" s="3"/>
      <c r="N169" s="3"/>
    </row>
    <row r="170" spans="1:14">
      <c r="A170" s="3">
        <v>16</v>
      </c>
      <c r="B170" s="3" t="s">
        <v>41</v>
      </c>
      <c r="C170" s="3">
        <v>16</v>
      </c>
      <c r="D170" s="3" t="s">
        <v>732</v>
      </c>
      <c r="E170" s="3" t="s">
        <v>733</v>
      </c>
      <c r="F170" s="3" t="s">
        <v>734</v>
      </c>
      <c r="G170" s="4">
        <f>Settings!$B$4+((A170-1)*(Settings!$B$5+Settings!$B$6)/1440)</f>
        <v>0.625</v>
      </c>
      <c r="H170" s="4">
        <f>G170+(Settings!$B$5/1440)</f>
        <v>0.64583333333333337</v>
      </c>
      <c r="I170" s="3" t="s">
        <v>236</v>
      </c>
      <c r="J170" s="3">
        <v>45</v>
      </c>
      <c r="K170" s="3">
        <v>45.2</v>
      </c>
      <c r="L170" s="3">
        <v>70</v>
      </c>
      <c r="M170" s="3"/>
      <c r="N170" s="3"/>
    </row>
    <row r="171" spans="1:14">
      <c r="A171" s="3">
        <v>17</v>
      </c>
      <c r="B171" s="3" t="s">
        <v>35</v>
      </c>
      <c r="C171" s="3">
        <v>17</v>
      </c>
      <c r="D171" s="3" t="s">
        <v>735</v>
      </c>
      <c r="E171" s="3" t="s">
        <v>736</v>
      </c>
      <c r="F171" s="3" t="s">
        <v>737</v>
      </c>
      <c r="G171" s="4">
        <f>Settings!$B$4+((A171-1)*(Settings!$B$5+Settings!$B$6)/1440)</f>
        <v>0.66666666666666663</v>
      </c>
      <c r="H171" s="4">
        <f>G171+(Settings!$B$5/1440)</f>
        <v>0.6875</v>
      </c>
      <c r="I171" s="3" t="s">
        <v>236</v>
      </c>
      <c r="J171" s="3">
        <v>45</v>
      </c>
      <c r="K171" s="3">
        <v>45.2</v>
      </c>
      <c r="L171" s="3">
        <v>70</v>
      </c>
      <c r="M171" s="3"/>
      <c r="N171" s="3"/>
    </row>
  </sheetData>
  <mergeCells count="1">
    <mergeCell ref="A1:N1"/>
  </mergeCells>
  <conditionalFormatting sqref="I4:I171">
    <cfRule type="expression" dxfId="5" priority="1">
      <formula>I4="Pass"</formula>
    </cfRule>
    <cfRule type="expression" dxfId="4" priority="2">
      <formula>I4="Fail"</formula>
    </cfRule>
    <cfRule type="expression" dxfId="3" priority="3">
      <formula>I4="Testing"</formula>
    </cfRule>
  </conditionalFormatting>
  <dataValidations count="1">
    <dataValidation type="list" sqref="I4:I171" xr:uid="{00000000-0002-0000-0200-000000000000}">
      <formula1>"Planned,Testing,Pass,Fail,Skipped"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>
      <selection sqref="A1:K1"/>
    </sheetView>
  </sheetViews>
  <sheetFormatPr defaultRowHeight="13.8"/>
  <cols>
    <col min="1" max="1" width="10" customWidth="1"/>
    <col min="2" max="2" width="12" customWidth="1"/>
    <col min="3" max="3" width="10" customWidth="1"/>
    <col min="4" max="4" width="24" customWidth="1"/>
    <col min="5" max="6" width="10" customWidth="1"/>
    <col min="7" max="7" width="12" customWidth="1"/>
    <col min="8" max="10" width="16" customWidth="1"/>
    <col min="11" max="11" width="28" customWidth="1"/>
  </cols>
  <sheetData>
    <row r="1" spans="1:11" ht="22.35" customHeight="1">
      <c r="A1" s="26" t="s">
        <v>738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3" spans="1:11">
      <c r="A3" s="2" t="s">
        <v>739</v>
      </c>
      <c r="B3" s="2" t="s">
        <v>225</v>
      </c>
      <c r="C3" s="2" t="s">
        <v>226</v>
      </c>
      <c r="D3" s="2" t="s">
        <v>227</v>
      </c>
      <c r="E3" s="2" t="s">
        <v>52</v>
      </c>
      <c r="F3" s="2" t="s">
        <v>53</v>
      </c>
      <c r="G3" s="2" t="s">
        <v>228</v>
      </c>
      <c r="H3" s="2" t="s">
        <v>230</v>
      </c>
      <c r="I3" s="2" t="s">
        <v>231</v>
      </c>
      <c r="J3" s="2" t="s">
        <v>232</v>
      </c>
      <c r="K3" s="2" t="s">
        <v>4</v>
      </c>
    </row>
    <row r="4" spans="1:11">
      <c r="A4" s="3">
        <v>1</v>
      </c>
      <c r="B4" s="3" t="s">
        <v>740</v>
      </c>
      <c r="C4" s="3" t="s">
        <v>741</v>
      </c>
      <c r="D4" s="3" t="s">
        <v>742</v>
      </c>
      <c r="E4" s="4">
        <f>Settings!$B$7+((A4-1)*(Settings!$B$5+Settings!$B$6)/1440)</f>
        <v>0</v>
      </c>
      <c r="F4" s="4">
        <f>E4+(Settings!$B$5/1440)</f>
        <v>2.0833333333333332E-2</v>
      </c>
      <c r="G4" s="3" t="s">
        <v>236</v>
      </c>
      <c r="H4" s="3">
        <v>45.2</v>
      </c>
      <c r="I4" s="3">
        <v>70</v>
      </c>
      <c r="J4" s="3"/>
      <c r="K4" s="3"/>
    </row>
    <row r="5" spans="1:11">
      <c r="A5" s="3">
        <v>2</v>
      </c>
      <c r="B5" s="3" t="s">
        <v>743</v>
      </c>
      <c r="C5" s="3" t="s">
        <v>744</v>
      </c>
      <c r="D5" s="3" t="s">
        <v>745</v>
      </c>
      <c r="E5" s="4">
        <f>Settings!$B$7+((A5-1)*(Settings!$B$5+Settings!$B$6)/1440)</f>
        <v>4.1666666666666664E-2</v>
      </c>
      <c r="F5" s="4">
        <f>E5+(Settings!$B$5/1440)</f>
        <v>6.25E-2</v>
      </c>
      <c r="G5" s="3" t="s">
        <v>236</v>
      </c>
      <c r="H5" s="3">
        <v>45.2</v>
      </c>
      <c r="I5" s="3">
        <v>70</v>
      </c>
      <c r="J5" s="3"/>
      <c r="K5" s="3"/>
    </row>
    <row r="6" spans="1:11">
      <c r="A6" s="3">
        <v>3</v>
      </c>
      <c r="B6" s="3" t="s">
        <v>746</v>
      </c>
      <c r="C6" s="3" t="s">
        <v>747</v>
      </c>
      <c r="D6" s="3" t="s">
        <v>748</v>
      </c>
      <c r="E6" s="4">
        <f>Settings!$B$7+((A6-1)*(Settings!$B$5+Settings!$B$6)/1440)</f>
        <v>8.3333333333333329E-2</v>
      </c>
      <c r="F6" s="4">
        <f>E6+(Settings!$B$5/1440)</f>
        <v>0.10416666666666666</v>
      </c>
      <c r="G6" s="3" t="s">
        <v>236</v>
      </c>
      <c r="H6" s="3">
        <v>45.2</v>
      </c>
      <c r="I6" s="3">
        <v>70</v>
      </c>
      <c r="J6" s="3"/>
      <c r="K6" s="3"/>
    </row>
    <row r="7" spans="1:11">
      <c r="A7" s="3">
        <v>4</v>
      </c>
      <c r="B7" s="3" t="s">
        <v>749</v>
      </c>
      <c r="C7" s="3" t="s">
        <v>750</v>
      </c>
      <c r="D7" s="3" t="s">
        <v>751</v>
      </c>
      <c r="E7" s="4">
        <f>Settings!$B$7+((A7-1)*(Settings!$B$5+Settings!$B$6)/1440)</f>
        <v>0.125</v>
      </c>
      <c r="F7" s="4">
        <f>E7+(Settings!$B$5/1440)</f>
        <v>0.14583333333333334</v>
      </c>
      <c r="G7" s="3" t="s">
        <v>236</v>
      </c>
      <c r="H7" s="3">
        <v>45.2</v>
      </c>
      <c r="I7" s="3">
        <v>70</v>
      </c>
      <c r="J7" s="3"/>
      <c r="K7" s="3"/>
    </row>
    <row r="8" spans="1:11">
      <c r="A8" s="3">
        <v>5</v>
      </c>
      <c r="B8" s="3" t="s">
        <v>752</v>
      </c>
      <c r="C8" s="3" t="s">
        <v>753</v>
      </c>
      <c r="D8" s="3" t="s">
        <v>754</v>
      </c>
      <c r="E8" s="4">
        <f>Settings!$B$7+((A8-1)*(Settings!$B$5+Settings!$B$6)/1440)</f>
        <v>0.16666666666666666</v>
      </c>
      <c r="F8" s="4">
        <f>E8+(Settings!$B$5/1440)</f>
        <v>0.1875</v>
      </c>
      <c r="G8" s="3" t="s">
        <v>236</v>
      </c>
      <c r="H8" s="3">
        <v>45.2</v>
      </c>
      <c r="I8" s="3">
        <v>70</v>
      </c>
      <c r="J8" s="3"/>
      <c r="K8" s="3"/>
    </row>
    <row r="9" spans="1:11">
      <c r="A9" s="3">
        <v>6</v>
      </c>
      <c r="B9" s="3" t="s">
        <v>755</v>
      </c>
      <c r="C9" s="3" t="s">
        <v>756</v>
      </c>
      <c r="D9" s="3" t="s">
        <v>757</v>
      </c>
      <c r="E9" s="4">
        <f>Settings!$B$7+((A9-1)*(Settings!$B$5+Settings!$B$6)/1440)</f>
        <v>0.20833333333333334</v>
      </c>
      <c r="F9" s="4">
        <f>E9+(Settings!$B$5/1440)</f>
        <v>0.22916666666666669</v>
      </c>
      <c r="G9" s="3" t="s">
        <v>236</v>
      </c>
      <c r="H9" s="3">
        <v>45.2</v>
      </c>
      <c r="I9" s="3">
        <v>70</v>
      </c>
      <c r="J9" s="3"/>
      <c r="K9" s="3"/>
    </row>
    <row r="10" spans="1:11">
      <c r="A10" s="3">
        <v>7</v>
      </c>
      <c r="B10" s="3" t="s">
        <v>758</v>
      </c>
      <c r="C10" s="3" t="s">
        <v>759</v>
      </c>
      <c r="D10" s="3" t="s">
        <v>760</v>
      </c>
      <c r="E10" s="4">
        <f>Settings!$B$7+((A10-1)*(Settings!$B$5+Settings!$B$6)/1440)</f>
        <v>0.25</v>
      </c>
      <c r="F10" s="4">
        <f>E10+(Settings!$B$5/1440)</f>
        <v>0.27083333333333331</v>
      </c>
      <c r="G10" s="3" t="s">
        <v>236</v>
      </c>
      <c r="H10" s="3">
        <v>45.2</v>
      </c>
      <c r="I10" s="3">
        <v>70</v>
      </c>
      <c r="J10" s="3"/>
      <c r="K10" s="3"/>
    </row>
    <row r="11" spans="1:11">
      <c r="A11" s="3">
        <v>8</v>
      </c>
      <c r="B11" s="3" t="s">
        <v>761</v>
      </c>
      <c r="C11" s="3" t="s">
        <v>762</v>
      </c>
      <c r="D11" s="3" t="s">
        <v>763</v>
      </c>
      <c r="E11" s="4">
        <f>Settings!$B$7+((A11-1)*(Settings!$B$5+Settings!$B$6)/1440)</f>
        <v>0.29166666666666669</v>
      </c>
      <c r="F11" s="4">
        <f>E11+(Settings!$B$5/1440)</f>
        <v>0.3125</v>
      </c>
      <c r="G11" s="3" t="s">
        <v>236</v>
      </c>
      <c r="H11" s="3">
        <v>45.2</v>
      </c>
      <c r="I11" s="3">
        <v>70</v>
      </c>
      <c r="J11" s="3"/>
      <c r="K11" s="3"/>
    </row>
    <row r="12" spans="1:11">
      <c r="A12" s="3">
        <v>9</v>
      </c>
      <c r="B12" s="3" t="s">
        <v>764</v>
      </c>
      <c r="C12" s="3" t="s">
        <v>765</v>
      </c>
      <c r="D12" s="3" t="s">
        <v>766</v>
      </c>
      <c r="E12" s="4">
        <f>Settings!$B$7+((A12-1)*(Settings!$B$5+Settings!$B$6)/1440)</f>
        <v>0.33333333333333331</v>
      </c>
      <c r="F12" s="4">
        <f>E12+(Settings!$B$5/1440)</f>
        <v>0.35416666666666663</v>
      </c>
      <c r="G12" s="3" t="s">
        <v>236</v>
      </c>
      <c r="H12" s="3">
        <v>45.2</v>
      </c>
      <c r="I12" s="3">
        <v>70</v>
      </c>
      <c r="J12" s="3"/>
      <c r="K12" s="3"/>
    </row>
    <row r="13" spans="1:11">
      <c r="A13" s="3">
        <v>10</v>
      </c>
      <c r="B13" s="3" t="s">
        <v>767</v>
      </c>
      <c r="C13" s="3" t="s">
        <v>768</v>
      </c>
      <c r="D13" s="3" t="s">
        <v>769</v>
      </c>
      <c r="E13" s="4">
        <f>Settings!$B$7+((A13-1)*(Settings!$B$5+Settings!$B$6)/1440)</f>
        <v>0.375</v>
      </c>
      <c r="F13" s="4">
        <f>E13+(Settings!$B$5/1440)</f>
        <v>0.39583333333333331</v>
      </c>
      <c r="G13" s="3" t="s">
        <v>236</v>
      </c>
      <c r="H13" s="3">
        <v>45.2</v>
      </c>
      <c r="I13" s="3">
        <v>70</v>
      </c>
      <c r="J13" s="3"/>
      <c r="K13" s="3"/>
    </row>
    <row r="14" spans="1:11">
      <c r="A14" s="3">
        <v>11</v>
      </c>
      <c r="B14" s="3" t="s">
        <v>770</v>
      </c>
      <c r="C14" s="3" t="s">
        <v>771</v>
      </c>
      <c r="D14" s="3" t="s">
        <v>772</v>
      </c>
      <c r="E14" s="4">
        <f>Settings!$B$7+((A14-1)*(Settings!$B$5+Settings!$B$6)/1440)</f>
        <v>0.41666666666666669</v>
      </c>
      <c r="F14" s="4">
        <f>E14+(Settings!$B$5/1440)</f>
        <v>0.4375</v>
      </c>
      <c r="G14" s="3" t="s">
        <v>236</v>
      </c>
      <c r="H14" s="3">
        <v>45.2</v>
      </c>
      <c r="I14" s="3">
        <v>70</v>
      </c>
      <c r="J14" s="3"/>
      <c r="K14" s="3"/>
    </row>
    <row r="15" spans="1:11">
      <c r="A15" s="3">
        <v>12</v>
      </c>
      <c r="B15" s="3" t="s">
        <v>773</v>
      </c>
      <c r="C15" s="3" t="s">
        <v>774</v>
      </c>
      <c r="D15" s="3" t="s">
        <v>775</v>
      </c>
      <c r="E15" s="4">
        <f>Settings!$B$7+((A15-1)*(Settings!$B$5+Settings!$B$6)/1440)</f>
        <v>0.45833333333333331</v>
      </c>
      <c r="F15" s="4">
        <f>E15+(Settings!$B$5/1440)</f>
        <v>0.47916666666666663</v>
      </c>
      <c r="G15" s="3" t="s">
        <v>236</v>
      </c>
      <c r="H15" s="3">
        <v>45.2</v>
      </c>
      <c r="I15" s="3">
        <v>70</v>
      </c>
      <c r="J15" s="3"/>
      <c r="K15" s="3"/>
    </row>
    <row r="16" spans="1:11">
      <c r="A16" s="3">
        <v>13</v>
      </c>
      <c r="B16" s="3" t="s">
        <v>776</v>
      </c>
      <c r="C16" s="3" t="s">
        <v>777</v>
      </c>
      <c r="D16" s="3" t="s">
        <v>778</v>
      </c>
      <c r="E16" s="4">
        <f>Settings!$B$7+((A16-1)*(Settings!$B$5+Settings!$B$6)/1440)</f>
        <v>0.5</v>
      </c>
      <c r="F16" s="4">
        <f>E16+(Settings!$B$5/1440)</f>
        <v>0.52083333333333337</v>
      </c>
      <c r="G16" s="3" t="s">
        <v>236</v>
      </c>
      <c r="H16" s="3">
        <v>45.2</v>
      </c>
      <c r="I16" s="3">
        <v>70</v>
      </c>
      <c r="J16" s="3"/>
      <c r="K16" s="3"/>
    </row>
    <row r="17" spans="1:11">
      <c r="A17" s="3">
        <v>14</v>
      </c>
      <c r="B17" s="3" t="s">
        <v>779</v>
      </c>
      <c r="C17" s="3" t="s">
        <v>780</v>
      </c>
      <c r="D17" s="3" t="s">
        <v>781</v>
      </c>
      <c r="E17" s="4">
        <f>Settings!$B$7+((A17-1)*(Settings!$B$5+Settings!$B$6)/1440)</f>
        <v>0.54166666666666663</v>
      </c>
      <c r="F17" s="4">
        <f>E17+(Settings!$B$5/1440)</f>
        <v>0.5625</v>
      </c>
      <c r="G17" s="3" t="s">
        <v>236</v>
      </c>
      <c r="H17" s="3">
        <v>45.2</v>
      </c>
      <c r="I17" s="3">
        <v>70</v>
      </c>
      <c r="J17" s="3"/>
      <c r="K17" s="3"/>
    </row>
    <row r="18" spans="1:11">
      <c r="A18" s="3">
        <v>15</v>
      </c>
      <c r="B18" s="3" t="s">
        <v>782</v>
      </c>
      <c r="C18" s="3" t="s">
        <v>783</v>
      </c>
      <c r="D18" s="3" t="s">
        <v>784</v>
      </c>
      <c r="E18" s="4">
        <f>Settings!$B$7+((A18-1)*(Settings!$B$5+Settings!$B$6)/1440)</f>
        <v>0.58333333333333337</v>
      </c>
      <c r="F18" s="4">
        <f>E18+(Settings!$B$5/1440)</f>
        <v>0.60416666666666674</v>
      </c>
      <c r="G18" s="3" t="s">
        <v>236</v>
      </c>
      <c r="H18" s="3">
        <v>45.2</v>
      </c>
      <c r="I18" s="3">
        <v>70</v>
      </c>
      <c r="J18" s="3"/>
      <c r="K18" s="3"/>
    </row>
    <row r="19" spans="1:11">
      <c r="A19" s="3">
        <v>16</v>
      </c>
      <c r="B19" s="3" t="s">
        <v>785</v>
      </c>
      <c r="C19" s="3" t="s">
        <v>786</v>
      </c>
      <c r="D19" s="3" t="s">
        <v>787</v>
      </c>
      <c r="E19" s="4">
        <f>Settings!$B$7+((A19-1)*(Settings!$B$5+Settings!$B$6)/1440)</f>
        <v>0.625</v>
      </c>
      <c r="F19" s="4">
        <f>E19+(Settings!$B$5/1440)</f>
        <v>0.64583333333333337</v>
      </c>
      <c r="G19" s="3" t="s">
        <v>236</v>
      </c>
      <c r="H19" s="3">
        <v>45.2</v>
      </c>
      <c r="I19" s="3">
        <v>70</v>
      </c>
      <c r="J19" s="3"/>
      <c r="K19" s="3"/>
    </row>
    <row r="20" spans="1:11">
      <c r="A20" s="3">
        <v>17</v>
      </c>
      <c r="B20" s="3" t="s">
        <v>788</v>
      </c>
      <c r="C20" s="3" t="s">
        <v>789</v>
      </c>
      <c r="D20" s="3" t="s">
        <v>790</v>
      </c>
      <c r="E20" s="4">
        <f>Settings!$B$7+((A20-1)*(Settings!$B$5+Settings!$B$6)/1440)</f>
        <v>0.66666666666666663</v>
      </c>
      <c r="F20" s="4">
        <f>E20+(Settings!$B$5/1440)</f>
        <v>0.6875</v>
      </c>
      <c r="G20" s="3" t="s">
        <v>236</v>
      </c>
      <c r="H20" s="3">
        <v>45.2</v>
      </c>
      <c r="I20" s="3">
        <v>70</v>
      </c>
      <c r="J20" s="3"/>
      <c r="K20" s="3"/>
    </row>
    <row r="21" spans="1:11">
      <c r="A21" s="3">
        <v>18</v>
      </c>
      <c r="B21" s="3" t="s">
        <v>791</v>
      </c>
      <c r="C21" s="3" t="s">
        <v>792</v>
      </c>
      <c r="D21" s="3" t="s">
        <v>793</v>
      </c>
      <c r="E21" s="4">
        <f>Settings!$B$7+((A21-1)*(Settings!$B$5+Settings!$B$6)/1440)</f>
        <v>0.70833333333333337</v>
      </c>
      <c r="F21" s="4">
        <f>E21+(Settings!$B$5/1440)</f>
        <v>0.72916666666666674</v>
      </c>
      <c r="G21" s="3" t="s">
        <v>236</v>
      </c>
      <c r="H21" s="3">
        <v>45.2</v>
      </c>
      <c r="I21" s="3">
        <v>70</v>
      </c>
      <c r="J21" s="3"/>
      <c r="K21" s="3"/>
    </row>
    <row r="22" spans="1:11">
      <c r="A22" s="3">
        <v>19</v>
      </c>
      <c r="B22" s="3" t="s">
        <v>794</v>
      </c>
      <c r="C22" s="3" t="s">
        <v>795</v>
      </c>
      <c r="D22" s="3" t="s">
        <v>796</v>
      </c>
      <c r="E22" s="4">
        <f>Settings!$B$7+((A22-1)*(Settings!$B$5+Settings!$B$6)/1440)</f>
        <v>0.75</v>
      </c>
      <c r="F22" s="4">
        <f>E22+(Settings!$B$5/1440)</f>
        <v>0.77083333333333337</v>
      </c>
      <c r="G22" s="3" t="s">
        <v>236</v>
      </c>
      <c r="H22" s="3">
        <v>45.2</v>
      </c>
      <c r="I22" s="3">
        <v>70</v>
      </c>
      <c r="J22" s="3"/>
      <c r="K22" s="3"/>
    </row>
    <row r="23" spans="1:11">
      <c r="A23" s="3">
        <v>20</v>
      </c>
      <c r="B23" s="3" t="s">
        <v>797</v>
      </c>
      <c r="C23" s="3" t="s">
        <v>798</v>
      </c>
      <c r="D23" s="3" t="s">
        <v>799</v>
      </c>
      <c r="E23" s="4">
        <f>Settings!$B$7+((A23-1)*(Settings!$B$5+Settings!$B$6)/1440)</f>
        <v>0.79166666666666663</v>
      </c>
      <c r="F23" s="4">
        <f>E23+(Settings!$B$5/1440)</f>
        <v>0.8125</v>
      </c>
      <c r="G23" s="3" t="s">
        <v>236</v>
      </c>
      <c r="H23" s="3">
        <v>45.2</v>
      </c>
      <c r="I23" s="3">
        <v>70</v>
      </c>
      <c r="J23" s="3"/>
      <c r="K23" s="3"/>
    </row>
  </sheetData>
  <mergeCells count="1">
    <mergeCell ref="A1:K1"/>
  </mergeCells>
  <conditionalFormatting sqref="G4:G23">
    <cfRule type="expression" dxfId="2" priority="1">
      <formula>G4="Pass"</formula>
    </cfRule>
    <cfRule type="expression" dxfId="1" priority="2">
      <formula>G4="Fail"</formula>
    </cfRule>
    <cfRule type="expression" dxfId="0" priority="3">
      <formula>G4="Testing"</formula>
    </cfRule>
  </conditionalFormatting>
  <dataValidations count="1">
    <dataValidation type="list" sqref="G4:G23" xr:uid="{00000000-0002-0000-0300-000000000000}">
      <formula1>"Planned,Testing,Pass,Fail,Skipped"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topLeftCell="A13" workbookViewId="0">
      <selection activeCell="B7" sqref="B7"/>
    </sheetView>
  </sheetViews>
  <sheetFormatPr defaultRowHeight="13.8"/>
  <cols>
    <col min="1" max="1" width="34" customWidth="1"/>
    <col min="2" max="3" width="18" customWidth="1"/>
    <col min="4" max="4" width="32" customWidth="1"/>
    <col min="5" max="5" width="24" customWidth="1"/>
  </cols>
  <sheetData>
    <row r="1" spans="1:5" ht="22.35" customHeight="1">
      <c r="A1" s="26" t="s">
        <v>800</v>
      </c>
      <c r="B1" s="26"/>
      <c r="C1" s="26"/>
      <c r="D1" s="27" t="s">
        <v>801</v>
      </c>
      <c r="E1" s="7" t="s">
        <v>2</v>
      </c>
    </row>
    <row r="2" spans="1:5" ht="16.8">
      <c r="D2" s="8" t="s">
        <v>802</v>
      </c>
      <c r="E2" s="9">
        <v>12</v>
      </c>
    </row>
    <row r="3" spans="1:5" ht="16.8">
      <c r="A3" s="2" t="s">
        <v>803</v>
      </c>
      <c r="B3" s="2" t="s">
        <v>2</v>
      </c>
      <c r="D3" s="10" t="s">
        <v>804</v>
      </c>
      <c r="E3" s="11" t="s">
        <v>805</v>
      </c>
    </row>
    <row r="4" spans="1:5" ht="16.8">
      <c r="A4" t="s">
        <v>806</v>
      </c>
      <c r="B4" s="1">
        <v>0</v>
      </c>
      <c r="D4" s="10" t="s">
        <v>807</v>
      </c>
      <c r="E4" s="11" t="s">
        <v>808</v>
      </c>
    </row>
    <row r="5" spans="1:5" ht="16.8">
      <c r="A5" t="s">
        <v>809</v>
      </c>
      <c r="B5">
        <v>30</v>
      </c>
      <c r="D5" s="10" t="s">
        <v>810</v>
      </c>
      <c r="E5" s="11" t="s">
        <v>811</v>
      </c>
    </row>
    <row r="6" spans="1:5" ht="16.8">
      <c r="A6" t="s">
        <v>812</v>
      </c>
      <c r="B6">
        <v>30</v>
      </c>
      <c r="D6" s="10" t="s">
        <v>813</v>
      </c>
      <c r="E6" s="11" t="s">
        <v>814</v>
      </c>
    </row>
    <row r="7" spans="1:5" ht="16.8">
      <c r="A7" t="s">
        <v>815</v>
      </c>
      <c r="B7" s="1">
        <v>0</v>
      </c>
      <c r="D7" s="10" t="s">
        <v>816</v>
      </c>
      <c r="E7" s="11" t="s">
        <v>817</v>
      </c>
    </row>
    <row r="8" spans="1:5" ht="16.8">
      <c r="A8" t="s">
        <v>818</v>
      </c>
      <c r="B8">
        <v>14</v>
      </c>
      <c r="D8" s="12" t="s">
        <v>819</v>
      </c>
      <c r="E8" s="13" t="s">
        <v>820</v>
      </c>
    </row>
    <row r="10" spans="1:5">
      <c r="A10" s="2" t="s">
        <v>821</v>
      </c>
      <c r="B10" s="2"/>
      <c r="C10" s="2"/>
      <c r="D10" s="2"/>
    </row>
    <row r="11" spans="1:5" ht="27.6">
      <c r="A11" s="3" t="s">
        <v>24</v>
      </c>
      <c r="B11" s="3" t="s">
        <v>822</v>
      </c>
      <c r="C11" s="3"/>
      <c r="D11" s="3"/>
    </row>
    <row r="12" spans="1:5" ht="41.4">
      <c r="A12" s="3" t="s">
        <v>27</v>
      </c>
      <c r="B12" s="3" t="s">
        <v>823</v>
      </c>
      <c r="C12" s="3"/>
      <c r="D12" s="3"/>
    </row>
    <row r="13" spans="1:5" ht="27.6">
      <c r="A13" s="3" t="s">
        <v>30</v>
      </c>
      <c r="B13" s="3" t="s">
        <v>824</v>
      </c>
      <c r="C13" s="3"/>
      <c r="D13" s="3"/>
    </row>
    <row r="14" spans="1:5" ht="41.4">
      <c r="A14" s="3" t="s">
        <v>33</v>
      </c>
      <c r="B14" s="3" t="s">
        <v>825</v>
      </c>
      <c r="C14" s="3"/>
      <c r="D14" s="3"/>
    </row>
    <row r="15" spans="1:5" ht="55.2">
      <c r="A15" s="3" t="s">
        <v>36</v>
      </c>
      <c r="B15" s="3" t="s">
        <v>826</v>
      </c>
      <c r="C15" s="3"/>
      <c r="D15" s="3"/>
    </row>
    <row r="16" spans="1:5" ht="41.4">
      <c r="A16" s="3" t="s">
        <v>827</v>
      </c>
      <c r="B16" s="3" t="s">
        <v>828</v>
      </c>
      <c r="C16" s="3"/>
      <c r="D16" s="3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92"/>
  <sheetViews>
    <sheetView tabSelected="1" topLeftCell="A174" workbookViewId="0">
      <selection sqref="A1:V1"/>
    </sheetView>
  </sheetViews>
  <sheetFormatPr defaultRowHeight="13.8"/>
  <cols>
    <col min="1" max="1" width="12" customWidth="1"/>
    <col min="2" max="2" width="8" customWidth="1"/>
    <col min="3" max="3" width="7" customWidth="1"/>
    <col min="4" max="4" width="11" customWidth="1"/>
    <col min="5" max="5" width="10" customWidth="1"/>
    <col min="6" max="6" width="24" customWidth="1"/>
    <col min="7" max="9" width="10" customWidth="1"/>
    <col min="10" max="21" width="14" customWidth="1"/>
    <col min="22" max="22" width="30" customWidth="1"/>
  </cols>
  <sheetData>
    <row r="1" spans="1:22" ht="22.35" customHeight="1">
      <c r="A1" s="28" t="s">
        <v>829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22.35" customHeight="1">
      <c r="A2" s="29" t="s">
        <v>830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7.15" customHeight="1">
      <c r="A4" s="5" t="s">
        <v>831</v>
      </c>
      <c r="B4" s="6" t="s">
        <v>12</v>
      </c>
      <c r="C4" s="6" t="s">
        <v>224</v>
      </c>
      <c r="D4" s="6" t="s">
        <v>225</v>
      </c>
      <c r="E4" s="6" t="s">
        <v>226</v>
      </c>
      <c r="F4" s="6" t="s">
        <v>227</v>
      </c>
      <c r="G4" s="6" t="s">
        <v>832</v>
      </c>
      <c r="H4" s="6" t="s">
        <v>833</v>
      </c>
      <c r="I4" s="6" t="s">
        <v>19</v>
      </c>
      <c r="J4" s="6" t="s">
        <v>834</v>
      </c>
      <c r="K4" s="6" t="s">
        <v>835</v>
      </c>
      <c r="L4" s="6" t="s">
        <v>836</v>
      </c>
      <c r="M4" s="6" t="s">
        <v>837</v>
      </c>
      <c r="N4" s="6" t="s">
        <v>838</v>
      </c>
      <c r="O4" s="6" t="s">
        <v>839</v>
      </c>
      <c r="P4" s="6" t="s">
        <v>840</v>
      </c>
      <c r="Q4" s="6" t="s">
        <v>841</v>
      </c>
      <c r="R4" s="6" t="s">
        <v>842</v>
      </c>
      <c r="S4" s="6" t="s">
        <v>843</v>
      </c>
      <c r="T4" s="6" t="s">
        <v>844</v>
      </c>
      <c r="U4" s="6" t="s">
        <v>845</v>
      </c>
      <c r="V4" s="7" t="s">
        <v>4</v>
      </c>
    </row>
    <row r="5" spans="1:22" ht="16.05" customHeight="1">
      <c r="A5" s="14" t="s">
        <v>846</v>
      </c>
      <c r="B5" s="15" t="s">
        <v>23</v>
      </c>
      <c r="C5" s="15">
        <v>1</v>
      </c>
      <c r="D5" s="15" t="s">
        <v>233</v>
      </c>
      <c r="E5" s="15" t="s">
        <v>234</v>
      </c>
      <c r="F5" s="16" t="s">
        <v>235</v>
      </c>
      <c r="G5" s="15">
        <v>12</v>
      </c>
      <c r="H5" s="15">
        <v>1</v>
      </c>
      <c r="I5" s="15">
        <v>0</v>
      </c>
      <c r="J5" s="15" t="s">
        <v>847</v>
      </c>
      <c r="K5" s="15" t="s">
        <v>848</v>
      </c>
      <c r="L5" s="15" t="s">
        <v>849</v>
      </c>
      <c r="M5" s="15" t="s">
        <v>850</v>
      </c>
      <c r="N5" s="15" t="s">
        <v>851</v>
      </c>
      <c r="O5" s="15" t="s">
        <v>852</v>
      </c>
      <c r="P5" s="15" t="s">
        <v>853</v>
      </c>
      <c r="Q5" s="15" t="s">
        <v>854</v>
      </c>
      <c r="R5" s="15" t="s">
        <v>855</v>
      </c>
      <c r="S5" s="15" t="s">
        <v>856</v>
      </c>
      <c r="T5" s="15" t="s">
        <v>857</v>
      </c>
      <c r="U5" s="15" t="s">
        <v>858</v>
      </c>
      <c r="V5" s="17" t="s">
        <v>859</v>
      </c>
    </row>
    <row r="6" spans="1:22" ht="16.05" customHeight="1">
      <c r="A6" s="18" t="s">
        <v>846</v>
      </c>
      <c r="B6" s="19" t="s">
        <v>23</v>
      </c>
      <c r="C6" s="19">
        <v>2</v>
      </c>
      <c r="D6" s="19" t="s">
        <v>276</v>
      </c>
      <c r="E6" s="19" t="s">
        <v>277</v>
      </c>
      <c r="F6" s="20" t="s">
        <v>278</v>
      </c>
      <c r="G6" s="19">
        <v>12</v>
      </c>
      <c r="H6" s="19">
        <v>1</v>
      </c>
      <c r="I6" s="19">
        <v>1</v>
      </c>
      <c r="J6" s="19" t="s">
        <v>860</v>
      </c>
      <c r="K6" s="19" t="s">
        <v>861</v>
      </c>
      <c r="L6" s="19" t="s">
        <v>862</v>
      </c>
      <c r="M6" s="19" t="s">
        <v>863</v>
      </c>
      <c r="N6" s="19" t="s">
        <v>864</v>
      </c>
      <c r="O6" s="19" t="s">
        <v>865</v>
      </c>
      <c r="P6" s="19" t="s">
        <v>866</v>
      </c>
      <c r="Q6" s="19" t="s">
        <v>867</v>
      </c>
      <c r="R6" s="19" t="s">
        <v>868</v>
      </c>
      <c r="S6" s="19" t="s">
        <v>869</v>
      </c>
      <c r="T6" s="19" t="s">
        <v>870</v>
      </c>
      <c r="U6" s="19" t="s">
        <v>871</v>
      </c>
      <c r="V6" s="21" t="s">
        <v>859</v>
      </c>
    </row>
    <row r="7" spans="1:22" ht="16.05" customHeight="1">
      <c r="A7" s="18" t="s">
        <v>846</v>
      </c>
      <c r="B7" s="19" t="s">
        <v>23</v>
      </c>
      <c r="C7" s="19">
        <v>3</v>
      </c>
      <c r="D7" s="19" t="s">
        <v>318</v>
      </c>
      <c r="E7" s="19" t="s">
        <v>319</v>
      </c>
      <c r="F7" s="20" t="s">
        <v>320</v>
      </c>
      <c r="G7" s="19">
        <v>12</v>
      </c>
      <c r="H7" s="19">
        <v>1</v>
      </c>
      <c r="I7" s="19">
        <v>2</v>
      </c>
      <c r="J7" s="19" t="s">
        <v>872</v>
      </c>
      <c r="K7" s="19" t="s">
        <v>873</v>
      </c>
      <c r="L7" s="19" t="s">
        <v>874</v>
      </c>
      <c r="M7" s="19" t="s">
        <v>875</v>
      </c>
      <c r="N7" s="19" t="s">
        <v>876</v>
      </c>
      <c r="O7" s="19" t="s">
        <v>877</v>
      </c>
      <c r="P7" s="19" t="s">
        <v>878</v>
      </c>
      <c r="Q7" s="19" t="s">
        <v>879</v>
      </c>
      <c r="R7" s="19" t="s">
        <v>880</v>
      </c>
      <c r="S7" s="19" t="s">
        <v>881</v>
      </c>
      <c r="T7" s="19" t="s">
        <v>882</v>
      </c>
      <c r="U7" s="19" t="s">
        <v>883</v>
      </c>
      <c r="V7" s="21" t="s">
        <v>859</v>
      </c>
    </row>
    <row r="8" spans="1:22" ht="16.05" customHeight="1">
      <c r="A8" s="18" t="s">
        <v>846</v>
      </c>
      <c r="B8" s="19" t="s">
        <v>23</v>
      </c>
      <c r="C8" s="19">
        <v>4</v>
      </c>
      <c r="D8" s="19" t="s">
        <v>360</v>
      </c>
      <c r="E8" s="19" t="s">
        <v>361</v>
      </c>
      <c r="F8" s="20" t="s">
        <v>362</v>
      </c>
      <c r="G8" s="19">
        <v>12</v>
      </c>
      <c r="H8" s="19">
        <v>1</v>
      </c>
      <c r="I8" s="19">
        <v>3</v>
      </c>
      <c r="J8" s="19" t="s">
        <v>884</v>
      </c>
      <c r="K8" s="19" t="s">
        <v>885</v>
      </c>
      <c r="L8" s="19" t="s">
        <v>886</v>
      </c>
      <c r="M8" s="19" t="s">
        <v>887</v>
      </c>
      <c r="N8" s="19" t="s">
        <v>888</v>
      </c>
      <c r="O8" s="19" t="s">
        <v>889</v>
      </c>
      <c r="P8" s="19" t="s">
        <v>890</v>
      </c>
      <c r="Q8" s="19" t="s">
        <v>891</v>
      </c>
      <c r="R8" s="19" t="s">
        <v>892</v>
      </c>
      <c r="S8" s="19" t="s">
        <v>893</v>
      </c>
      <c r="T8" s="19" t="s">
        <v>894</v>
      </c>
      <c r="U8" s="19" t="s">
        <v>895</v>
      </c>
      <c r="V8" s="21" t="s">
        <v>859</v>
      </c>
    </row>
    <row r="9" spans="1:22" ht="16.05" customHeight="1">
      <c r="A9" s="18" t="s">
        <v>846</v>
      </c>
      <c r="B9" s="19" t="s">
        <v>23</v>
      </c>
      <c r="C9" s="19">
        <v>5</v>
      </c>
      <c r="D9" s="19" t="s">
        <v>402</v>
      </c>
      <c r="E9" s="19" t="s">
        <v>403</v>
      </c>
      <c r="F9" s="20" t="s">
        <v>404</v>
      </c>
      <c r="G9" s="19">
        <v>12</v>
      </c>
      <c r="H9" s="19">
        <v>1</v>
      </c>
      <c r="I9" s="19">
        <v>4</v>
      </c>
      <c r="J9" s="19" t="s">
        <v>896</v>
      </c>
      <c r="K9" s="19" t="s">
        <v>897</v>
      </c>
      <c r="L9" s="19" t="s">
        <v>898</v>
      </c>
      <c r="M9" s="19" t="s">
        <v>899</v>
      </c>
      <c r="N9" s="19" t="s">
        <v>900</v>
      </c>
      <c r="O9" s="19" t="s">
        <v>901</v>
      </c>
      <c r="P9" s="19" t="s">
        <v>902</v>
      </c>
      <c r="Q9" s="19" t="s">
        <v>903</v>
      </c>
      <c r="R9" s="19" t="s">
        <v>904</v>
      </c>
      <c r="S9" s="19" t="s">
        <v>905</v>
      </c>
      <c r="T9" s="19" t="s">
        <v>906</v>
      </c>
      <c r="U9" s="19" t="s">
        <v>907</v>
      </c>
      <c r="V9" s="21" t="s">
        <v>859</v>
      </c>
    </row>
    <row r="10" spans="1:22" ht="16.05" customHeight="1">
      <c r="A10" s="18" t="s">
        <v>846</v>
      </c>
      <c r="B10" s="19" t="s">
        <v>23</v>
      </c>
      <c r="C10" s="19">
        <v>6</v>
      </c>
      <c r="D10" s="19" t="s">
        <v>444</v>
      </c>
      <c r="E10" s="19" t="s">
        <v>445</v>
      </c>
      <c r="F10" s="20" t="s">
        <v>446</v>
      </c>
      <c r="G10" s="19">
        <v>12</v>
      </c>
      <c r="H10" s="19">
        <v>1</v>
      </c>
      <c r="I10" s="19">
        <v>5</v>
      </c>
      <c r="J10" s="19" t="s">
        <v>908</v>
      </c>
      <c r="K10" s="19" t="s">
        <v>909</v>
      </c>
      <c r="L10" s="19" t="s">
        <v>910</v>
      </c>
      <c r="M10" s="19" t="s">
        <v>911</v>
      </c>
      <c r="N10" s="19" t="s">
        <v>912</v>
      </c>
      <c r="O10" s="19" t="s">
        <v>913</v>
      </c>
      <c r="P10" s="19" t="s">
        <v>914</v>
      </c>
      <c r="Q10" s="19" t="s">
        <v>915</v>
      </c>
      <c r="R10" s="19" t="s">
        <v>916</v>
      </c>
      <c r="S10" s="19" t="s">
        <v>917</v>
      </c>
      <c r="T10" s="19" t="s">
        <v>918</v>
      </c>
      <c r="U10" s="19" t="s">
        <v>919</v>
      </c>
      <c r="V10" s="21" t="s">
        <v>859</v>
      </c>
    </row>
    <row r="11" spans="1:22" ht="16.05" customHeight="1">
      <c r="A11" s="18" t="s">
        <v>846</v>
      </c>
      <c r="B11" s="19" t="s">
        <v>23</v>
      </c>
      <c r="C11" s="19">
        <v>7</v>
      </c>
      <c r="D11" s="19" t="s">
        <v>486</v>
      </c>
      <c r="E11" s="19" t="s">
        <v>487</v>
      </c>
      <c r="F11" s="20" t="s">
        <v>488</v>
      </c>
      <c r="G11" s="19">
        <v>12</v>
      </c>
      <c r="H11" s="19">
        <v>1</v>
      </c>
      <c r="I11" s="19">
        <v>6</v>
      </c>
      <c r="J11" s="19" t="s">
        <v>920</v>
      </c>
      <c r="K11" s="19" t="s">
        <v>921</v>
      </c>
      <c r="L11" s="19" t="s">
        <v>922</v>
      </c>
      <c r="M11" s="19" t="s">
        <v>923</v>
      </c>
      <c r="N11" s="19" t="s">
        <v>924</v>
      </c>
      <c r="O11" s="19" t="s">
        <v>925</v>
      </c>
      <c r="P11" s="19" t="s">
        <v>926</v>
      </c>
      <c r="Q11" s="19" t="s">
        <v>927</v>
      </c>
      <c r="R11" s="19" t="s">
        <v>928</v>
      </c>
      <c r="S11" s="19" t="s">
        <v>929</v>
      </c>
      <c r="T11" s="19" t="s">
        <v>930</v>
      </c>
      <c r="U11" s="19" t="s">
        <v>931</v>
      </c>
      <c r="V11" s="21" t="s">
        <v>859</v>
      </c>
    </row>
    <row r="12" spans="1:22" ht="16.05" customHeight="1">
      <c r="A12" s="18" t="s">
        <v>846</v>
      </c>
      <c r="B12" s="19" t="s">
        <v>23</v>
      </c>
      <c r="C12" s="19">
        <v>8</v>
      </c>
      <c r="D12" s="19" t="s">
        <v>528</v>
      </c>
      <c r="E12" s="19" t="s">
        <v>529</v>
      </c>
      <c r="F12" s="20" t="s">
        <v>530</v>
      </c>
      <c r="G12" s="19">
        <v>12</v>
      </c>
      <c r="H12" s="19">
        <v>1</v>
      </c>
      <c r="I12" s="19">
        <v>7</v>
      </c>
      <c r="J12" s="19" t="s">
        <v>932</v>
      </c>
      <c r="K12" s="19" t="s">
        <v>933</v>
      </c>
      <c r="L12" s="19" t="s">
        <v>934</v>
      </c>
      <c r="M12" s="19" t="s">
        <v>935</v>
      </c>
      <c r="N12" s="19" t="s">
        <v>936</v>
      </c>
      <c r="O12" s="19" t="s">
        <v>937</v>
      </c>
      <c r="P12" s="19" t="s">
        <v>938</v>
      </c>
      <c r="Q12" s="19" t="s">
        <v>939</v>
      </c>
      <c r="R12" s="19" t="s">
        <v>940</v>
      </c>
      <c r="S12" s="19" t="s">
        <v>941</v>
      </c>
      <c r="T12" s="19" t="s">
        <v>942</v>
      </c>
      <c r="U12" s="19" t="s">
        <v>943</v>
      </c>
      <c r="V12" s="21" t="s">
        <v>859</v>
      </c>
    </row>
    <row r="13" spans="1:22" ht="16.05" customHeight="1">
      <c r="A13" s="18" t="s">
        <v>846</v>
      </c>
      <c r="B13" s="19" t="s">
        <v>23</v>
      </c>
      <c r="C13" s="19">
        <v>9</v>
      </c>
      <c r="D13" s="19" t="s">
        <v>570</v>
      </c>
      <c r="E13" s="19" t="s">
        <v>571</v>
      </c>
      <c r="F13" s="20" t="s">
        <v>572</v>
      </c>
      <c r="G13" s="19">
        <v>12</v>
      </c>
      <c r="H13" s="19">
        <v>1</v>
      </c>
      <c r="I13" s="19">
        <v>8</v>
      </c>
      <c r="J13" s="19" t="s">
        <v>944</v>
      </c>
      <c r="K13" s="19" t="s">
        <v>945</v>
      </c>
      <c r="L13" s="19" t="s">
        <v>946</v>
      </c>
      <c r="M13" s="19" t="s">
        <v>947</v>
      </c>
      <c r="N13" s="19" t="s">
        <v>948</v>
      </c>
      <c r="O13" s="19" t="s">
        <v>949</v>
      </c>
      <c r="P13" s="19" t="s">
        <v>950</v>
      </c>
      <c r="Q13" s="19" t="s">
        <v>951</v>
      </c>
      <c r="R13" s="19" t="s">
        <v>952</v>
      </c>
      <c r="S13" s="19" t="s">
        <v>953</v>
      </c>
      <c r="T13" s="19" t="s">
        <v>954</v>
      </c>
      <c r="U13" s="19" t="s">
        <v>955</v>
      </c>
      <c r="V13" s="21" t="s">
        <v>859</v>
      </c>
    </row>
    <row r="14" spans="1:22" ht="16.05" customHeight="1">
      <c r="A14" s="18" t="s">
        <v>846</v>
      </c>
      <c r="B14" s="19" t="s">
        <v>23</v>
      </c>
      <c r="C14" s="19">
        <v>10</v>
      </c>
      <c r="D14" s="19" t="s">
        <v>606</v>
      </c>
      <c r="E14" s="19" t="s">
        <v>607</v>
      </c>
      <c r="F14" s="20" t="s">
        <v>608</v>
      </c>
      <c r="G14" s="19">
        <v>12</v>
      </c>
      <c r="H14" s="19">
        <v>1</v>
      </c>
      <c r="I14" s="19">
        <v>9</v>
      </c>
      <c r="J14" s="19" t="s">
        <v>956</v>
      </c>
      <c r="K14" s="19" t="s">
        <v>957</v>
      </c>
      <c r="L14" s="19" t="s">
        <v>958</v>
      </c>
      <c r="M14" s="19" t="s">
        <v>959</v>
      </c>
      <c r="N14" s="19" t="s">
        <v>960</v>
      </c>
      <c r="O14" s="19" t="s">
        <v>961</v>
      </c>
      <c r="P14" s="19" t="s">
        <v>962</v>
      </c>
      <c r="Q14" s="19" t="s">
        <v>963</v>
      </c>
      <c r="R14" s="19" t="s">
        <v>964</v>
      </c>
      <c r="S14" s="19" t="s">
        <v>965</v>
      </c>
      <c r="T14" s="19" t="s">
        <v>966</v>
      </c>
      <c r="U14" s="19" t="s">
        <v>967</v>
      </c>
      <c r="V14" s="21" t="s">
        <v>859</v>
      </c>
    </row>
    <row r="15" spans="1:22" ht="16.05" customHeight="1">
      <c r="A15" s="18" t="s">
        <v>846</v>
      </c>
      <c r="B15" s="19" t="s">
        <v>23</v>
      </c>
      <c r="C15" s="19">
        <v>11</v>
      </c>
      <c r="D15" s="19" t="s">
        <v>642</v>
      </c>
      <c r="E15" s="19" t="s">
        <v>643</v>
      </c>
      <c r="F15" s="20" t="s">
        <v>644</v>
      </c>
      <c r="G15" s="19">
        <v>12</v>
      </c>
      <c r="H15" s="19">
        <v>1</v>
      </c>
      <c r="I15" s="19">
        <v>10</v>
      </c>
      <c r="J15" s="19" t="s">
        <v>968</v>
      </c>
      <c r="K15" s="19" t="s">
        <v>969</v>
      </c>
      <c r="L15" s="19" t="s">
        <v>970</v>
      </c>
      <c r="M15" s="19" t="s">
        <v>971</v>
      </c>
      <c r="N15" s="19" t="s">
        <v>972</v>
      </c>
      <c r="O15" s="19" t="s">
        <v>973</v>
      </c>
      <c r="P15" s="19" t="s">
        <v>974</v>
      </c>
      <c r="Q15" s="19" t="s">
        <v>975</v>
      </c>
      <c r="R15" s="19" t="s">
        <v>976</v>
      </c>
      <c r="S15" s="19" t="s">
        <v>977</v>
      </c>
      <c r="T15" s="19" t="s">
        <v>978</v>
      </c>
      <c r="U15" s="19" t="s">
        <v>979</v>
      </c>
      <c r="V15" s="21" t="s">
        <v>859</v>
      </c>
    </row>
    <row r="16" spans="1:22" ht="16.05" customHeight="1">
      <c r="A16" s="18" t="s">
        <v>846</v>
      </c>
      <c r="B16" s="19" t="s">
        <v>26</v>
      </c>
      <c r="C16" s="19">
        <v>1</v>
      </c>
      <c r="D16" s="19" t="s">
        <v>237</v>
      </c>
      <c r="E16" s="19" t="s">
        <v>238</v>
      </c>
      <c r="F16" s="20" t="s">
        <v>239</v>
      </c>
      <c r="G16" s="19">
        <v>12</v>
      </c>
      <c r="H16" s="19">
        <v>1</v>
      </c>
      <c r="I16" s="19">
        <v>0</v>
      </c>
      <c r="J16" s="19" t="s">
        <v>847</v>
      </c>
      <c r="K16" s="19" t="s">
        <v>848</v>
      </c>
      <c r="L16" s="19" t="s">
        <v>849</v>
      </c>
      <c r="M16" s="19" t="s">
        <v>850</v>
      </c>
      <c r="N16" s="19" t="s">
        <v>851</v>
      </c>
      <c r="O16" s="19" t="s">
        <v>852</v>
      </c>
      <c r="P16" s="19" t="s">
        <v>853</v>
      </c>
      <c r="Q16" s="19" t="s">
        <v>854</v>
      </c>
      <c r="R16" s="19" t="s">
        <v>855</v>
      </c>
      <c r="S16" s="19" t="s">
        <v>856</v>
      </c>
      <c r="T16" s="19" t="s">
        <v>857</v>
      </c>
      <c r="U16" s="19" t="s">
        <v>858</v>
      </c>
      <c r="V16" s="21" t="s">
        <v>859</v>
      </c>
    </row>
    <row r="17" spans="1:22" ht="16.05" customHeight="1">
      <c r="A17" s="18" t="s">
        <v>846</v>
      </c>
      <c r="B17" s="19" t="s">
        <v>26</v>
      </c>
      <c r="C17" s="19">
        <v>2</v>
      </c>
      <c r="D17" s="19" t="s">
        <v>279</v>
      </c>
      <c r="E17" s="19" t="s">
        <v>280</v>
      </c>
      <c r="F17" s="20" t="s">
        <v>281</v>
      </c>
      <c r="G17" s="19">
        <v>12</v>
      </c>
      <c r="H17" s="19">
        <v>1</v>
      </c>
      <c r="I17" s="19">
        <v>1</v>
      </c>
      <c r="J17" s="19" t="s">
        <v>860</v>
      </c>
      <c r="K17" s="19" t="s">
        <v>861</v>
      </c>
      <c r="L17" s="19" t="s">
        <v>862</v>
      </c>
      <c r="M17" s="19" t="s">
        <v>863</v>
      </c>
      <c r="N17" s="19" t="s">
        <v>864</v>
      </c>
      <c r="O17" s="19" t="s">
        <v>865</v>
      </c>
      <c r="P17" s="19" t="s">
        <v>866</v>
      </c>
      <c r="Q17" s="19" t="s">
        <v>867</v>
      </c>
      <c r="R17" s="19" t="s">
        <v>868</v>
      </c>
      <c r="S17" s="19" t="s">
        <v>869</v>
      </c>
      <c r="T17" s="19" t="s">
        <v>870</v>
      </c>
      <c r="U17" s="19" t="s">
        <v>871</v>
      </c>
      <c r="V17" s="21" t="s">
        <v>859</v>
      </c>
    </row>
    <row r="18" spans="1:22" ht="16.05" customHeight="1">
      <c r="A18" s="18" t="s">
        <v>846</v>
      </c>
      <c r="B18" s="19" t="s">
        <v>26</v>
      </c>
      <c r="C18" s="19">
        <v>3</v>
      </c>
      <c r="D18" s="19" t="s">
        <v>321</v>
      </c>
      <c r="E18" s="19" t="s">
        <v>322</v>
      </c>
      <c r="F18" s="20" t="s">
        <v>323</v>
      </c>
      <c r="G18" s="19">
        <v>12</v>
      </c>
      <c r="H18" s="19">
        <v>1</v>
      </c>
      <c r="I18" s="19">
        <v>2</v>
      </c>
      <c r="J18" s="19" t="s">
        <v>872</v>
      </c>
      <c r="K18" s="19" t="s">
        <v>873</v>
      </c>
      <c r="L18" s="19" t="s">
        <v>874</v>
      </c>
      <c r="M18" s="19" t="s">
        <v>875</v>
      </c>
      <c r="N18" s="19" t="s">
        <v>876</v>
      </c>
      <c r="O18" s="19" t="s">
        <v>877</v>
      </c>
      <c r="P18" s="19" t="s">
        <v>878</v>
      </c>
      <c r="Q18" s="19" t="s">
        <v>879</v>
      </c>
      <c r="R18" s="19" t="s">
        <v>880</v>
      </c>
      <c r="S18" s="19" t="s">
        <v>881</v>
      </c>
      <c r="T18" s="19" t="s">
        <v>882</v>
      </c>
      <c r="U18" s="19" t="s">
        <v>883</v>
      </c>
      <c r="V18" s="21" t="s">
        <v>859</v>
      </c>
    </row>
    <row r="19" spans="1:22" ht="16.05" customHeight="1">
      <c r="A19" s="18" t="s">
        <v>846</v>
      </c>
      <c r="B19" s="19" t="s">
        <v>26</v>
      </c>
      <c r="C19" s="19">
        <v>4</v>
      </c>
      <c r="D19" s="19" t="s">
        <v>363</v>
      </c>
      <c r="E19" s="19" t="s">
        <v>364</v>
      </c>
      <c r="F19" s="20" t="s">
        <v>365</v>
      </c>
      <c r="G19" s="19">
        <v>12</v>
      </c>
      <c r="H19" s="19">
        <v>1</v>
      </c>
      <c r="I19" s="19">
        <v>3</v>
      </c>
      <c r="J19" s="19" t="s">
        <v>884</v>
      </c>
      <c r="K19" s="19" t="s">
        <v>885</v>
      </c>
      <c r="L19" s="19" t="s">
        <v>886</v>
      </c>
      <c r="M19" s="19" t="s">
        <v>887</v>
      </c>
      <c r="N19" s="19" t="s">
        <v>888</v>
      </c>
      <c r="O19" s="19" t="s">
        <v>889</v>
      </c>
      <c r="P19" s="19" t="s">
        <v>890</v>
      </c>
      <c r="Q19" s="19" t="s">
        <v>891</v>
      </c>
      <c r="R19" s="19" t="s">
        <v>892</v>
      </c>
      <c r="S19" s="19" t="s">
        <v>893</v>
      </c>
      <c r="T19" s="19" t="s">
        <v>894</v>
      </c>
      <c r="U19" s="19" t="s">
        <v>895</v>
      </c>
      <c r="V19" s="21" t="s">
        <v>859</v>
      </c>
    </row>
    <row r="20" spans="1:22" ht="16.05" customHeight="1">
      <c r="A20" s="18" t="s">
        <v>846</v>
      </c>
      <c r="B20" s="19" t="s">
        <v>26</v>
      </c>
      <c r="C20" s="19">
        <v>5</v>
      </c>
      <c r="D20" s="19" t="s">
        <v>405</v>
      </c>
      <c r="E20" s="19" t="s">
        <v>406</v>
      </c>
      <c r="F20" s="20" t="s">
        <v>407</v>
      </c>
      <c r="G20" s="19">
        <v>12</v>
      </c>
      <c r="H20" s="19">
        <v>1</v>
      </c>
      <c r="I20" s="19">
        <v>4</v>
      </c>
      <c r="J20" s="19" t="s">
        <v>896</v>
      </c>
      <c r="K20" s="19" t="s">
        <v>897</v>
      </c>
      <c r="L20" s="19" t="s">
        <v>898</v>
      </c>
      <c r="M20" s="19" t="s">
        <v>899</v>
      </c>
      <c r="N20" s="19" t="s">
        <v>900</v>
      </c>
      <c r="O20" s="19" t="s">
        <v>901</v>
      </c>
      <c r="P20" s="19" t="s">
        <v>902</v>
      </c>
      <c r="Q20" s="19" t="s">
        <v>903</v>
      </c>
      <c r="R20" s="19" t="s">
        <v>904</v>
      </c>
      <c r="S20" s="19" t="s">
        <v>905</v>
      </c>
      <c r="T20" s="19" t="s">
        <v>906</v>
      </c>
      <c r="U20" s="19" t="s">
        <v>907</v>
      </c>
      <c r="V20" s="21" t="s">
        <v>859</v>
      </c>
    </row>
    <row r="21" spans="1:22" ht="16.05" customHeight="1">
      <c r="A21" s="18" t="s">
        <v>846</v>
      </c>
      <c r="B21" s="19" t="s">
        <v>26</v>
      </c>
      <c r="C21" s="19">
        <v>6</v>
      </c>
      <c r="D21" s="19" t="s">
        <v>447</v>
      </c>
      <c r="E21" s="19" t="s">
        <v>448</v>
      </c>
      <c r="F21" s="20" t="s">
        <v>449</v>
      </c>
      <c r="G21" s="19">
        <v>12</v>
      </c>
      <c r="H21" s="19">
        <v>1</v>
      </c>
      <c r="I21" s="19">
        <v>5</v>
      </c>
      <c r="J21" s="19" t="s">
        <v>908</v>
      </c>
      <c r="K21" s="19" t="s">
        <v>909</v>
      </c>
      <c r="L21" s="19" t="s">
        <v>910</v>
      </c>
      <c r="M21" s="19" t="s">
        <v>911</v>
      </c>
      <c r="N21" s="19" t="s">
        <v>912</v>
      </c>
      <c r="O21" s="19" t="s">
        <v>913</v>
      </c>
      <c r="P21" s="19" t="s">
        <v>914</v>
      </c>
      <c r="Q21" s="19" t="s">
        <v>915</v>
      </c>
      <c r="R21" s="19" t="s">
        <v>916</v>
      </c>
      <c r="S21" s="19" t="s">
        <v>917</v>
      </c>
      <c r="T21" s="19" t="s">
        <v>918</v>
      </c>
      <c r="U21" s="19" t="s">
        <v>919</v>
      </c>
      <c r="V21" s="21" t="s">
        <v>859</v>
      </c>
    </row>
    <row r="22" spans="1:22" ht="16.05" customHeight="1">
      <c r="A22" s="18" t="s">
        <v>846</v>
      </c>
      <c r="B22" s="19" t="s">
        <v>26</v>
      </c>
      <c r="C22" s="19">
        <v>7</v>
      </c>
      <c r="D22" s="19" t="s">
        <v>489</v>
      </c>
      <c r="E22" s="19" t="s">
        <v>490</v>
      </c>
      <c r="F22" s="20" t="s">
        <v>491</v>
      </c>
      <c r="G22" s="19">
        <v>12</v>
      </c>
      <c r="H22" s="19">
        <v>1</v>
      </c>
      <c r="I22" s="19">
        <v>6</v>
      </c>
      <c r="J22" s="19" t="s">
        <v>920</v>
      </c>
      <c r="K22" s="19" t="s">
        <v>921</v>
      </c>
      <c r="L22" s="19" t="s">
        <v>922</v>
      </c>
      <c r="M22" s="19" t="s">
        <v>923</v>
      </c>
      <c r="N22" s="19" t="s">
        <v>924</v>
      </c>
      <c r="O22" s="19" t="s">
        <v>925</v>
      </c>
      <c r="P22" s="19" t="s">
        <v>926</v>
      </c>
      <c r="Q22" s="19" t="s">
        <v>927</v>
      </c>
      <c r="R22" s="19" t="s">
        <v>928</v>
      </c>
      <c r="S22" s="19" t="s">
        <v>929</v>
      </c>
      <c r="T22" s="19" t="s">
        <v>930</v>
      </c>
      <c r="U22" s="19" t="s">
        <v>931</v>
      </c>
      <c r="V22" s="21" t="s">
        <v>859</v>
      </c>
    </row>
    <row r="23" spans="1:22" ht="16.05" customHeight="1">
      <c r="A23" s="18" t="s">
        <v>846</v>
      </c>
      <c r="B23" s="19" t="s">
        <v>26</v>
      </c>
      <c r="C23" s="19">
        <v>8</v>
      </c>
      <c r="D23" s="19" t="s">
        <v>531</v>
      </c>
      <c r="E23" s="19" t="s">
        <v>532</v>
      </c>
      <c r="F23" s="20" t="s">
        <v>533</v>
      </c>
      <c r="G23" s="19">
        <v>12</v>
      </c>
      <c r="H23" s="19">
        <v>1</v>
      </c>
      <c r="I23" s="19">
        <v>7</v>
      </c>
      <c r="J23" s="19" t="s">
        <v>932</v>
      </c>
      <c r="K23" s="19" t="s">
        <v>933</v>
      </c>
      <c r="L23" s="19" t="s">
        <v>934</v>
      </c>
      <c r="M23" s="19" t="s">
        <v>935</v>
      </c>
      <c r="N23" s="19" t="s">
        <v>936</v>
      </c>
      <c r="O23" s="19" t="s">
        <v>937</v>
      </c>
      <c r="P23" s="19" t="s">
        <v>938</v>
      </c>
      <c r="Q23" s="19" t="s">
        <v>939</v>
      </c>
      <c r="R23" s="19" t="s">
        <v>940</v>
      </c>
      <c r="S23" s="19" t="s">
        <v>941</v>
      </c>
      <c r="T23" s="19" t="s">
        <v>942</v>
      </c>
      <c r="U23" s="19" t="s">
        <v>943</v>
      </c>
      <c r="V23" s="21" t="s">
        <v>859</v>
      </c>
    </row>
    <row r="24" spans="1:22" ht="16.05" customHeight="1">
      <c r="A24" s="22" t="s">
        <v>846</v>
      </c>
      <c r="B24" s="23" t="s">
        <v>26</v>
      </c>
      <c r="C24" s="23">
        <v>9</v>
      </c>
      <c r="D24" s="23" t="s">
        <v>573</v>
      </c>
      <c r="E24" s="23" t="s">
        <v>574</v>
      </c>
      <c r="F24" s="24" t="s">
        <v>575</v>
      </c>
      <c r="G24" s="23">
        <v>12</v>
      </c>
      <c r="H24" s="23">
        <v>1</v>
      </c>
      <c r="I24" s="23">
        <v>8</v>
      </c>
      <c r="J24" s="23" t="s">
        <v>944</v>
      </c>
      <c r="K24" s="23" t="s">
        <v>945</v>
      </c>
      <c r="L24" s="23" t="s">
        <v>946</v>
      </c>
      <c r="M24" s="23" t="s">
        <v>947</v>
      </c>
      <c r="N24" s="23" t="s">
        <v>948</v>
      </c>
      <c r="O24" s="23" t="s">
        <v>949</v>
      </c>
      <c r="P24" s="23" t="s">
        <v>950</v>
      </c>
      <c r="Q24" s="23" t="s">
        <v>951</v>
      </c>
      <c r="R24" s="23" t="s">
        <v>952</v>
      </c>
      <c r="S24" s="23" t="s">
        <v>953</v>
      </c>
      <c r="T24" s="23" t="s">
        <v>954</v>
      </c>
      <c r="U24" s="23" t="s">
        <v>955</v>
      </c>
      <c r="V24" s="25" t="s">
        <v>859</v>
      </c>
    </row>
    <row r="25" spans="1:22" ht="16.05" customHeight="1">
      <c r="A25" s="18" t="s">
        <v>846</v>
      </c>
      <c r="B25" s="19" t="s">
        <v>26</v>
      </c>
      <c r="C25" s="19">
        <v>10</v>
      </c>
      <c r="D25" s="19" t="s">
        <v>609</v>
      </c>
      <c r="E25" s="19" t="s">
        <v>610</v>
      </c>
      <c r="F25" s="20" t="s">
        <v>611</v>
      </c>
      <c r="G25" s="19">
        <v>12</v>
      </c>
      <c r="H25" s="19">
        <v>1</v>
      </c>
      <c r="I25" s="19">
        <v>9</v>
      </c>
      <c r="J25" s="19" t="s">
        <v>956</v>
      </c>
      <c r="K25" s="19" t="s">
        <v>957</v>
      </c>
      <c r="L25" s="19" t="s">
        <v>958</v>
      </c>
      <c r="M25" s="19" t="s">
        <v>959</v>
      </c>
      <c r="N25" s="19" t="s">
        <v>960</v>
      </c>
      <c r="O25" s="19" t="s">
        <v>961</v>
      </c>
      <c r="P25" s="19" t="s">
        <v>962</v>
      </c>
      <c r="Q25" s="19" t="s">
        <v>963</v>
      </c>
      <c r="R25" s="19" t="s">
        <v>964</v>
      </c>
      <c r="S25" s="19" t="s">
        <v>965</v>
      </c>
      <c r="T25" s="19" t="s">
        <v>966</v>
      </c>
      <c r="U25" s="19" t="s">
        <v>967</v>
      </c>
      <c r="V25" s="21" t="s">
        <v>859</v>
      </c>
    </row>
    <row r="26" spans="1:22" ht="16.05" customHeight="1">
      <c r="A26" s="18" t="s">
        <v>846</v>
      </c>
      <c r="B26" s="19" t="s">
        <v>29</v>
      </c>
      <c r="C26" s="19">
        <v>1</v>
      </c>
      <c r="D26" s="19" t="s">
        <v>240</v>
      </c>
      <c r="E26" s="19" t="s">
        <v>241</v>
      </c>
      <c r="F26" s="20" t="s">
        <v>242</v>
      </c>
      <c r="G26" s="19">
        <v>12</v>
      </c>
      <c r="H26" s="19">
        <v>1</v>
      </c>
      <c r="I26" s="19">
        <v>0</v>
      </c>
      <c r="J26" s="19" t="s">
        <v>847</v>
      </c>
      <c r="K26" s="19" t="s">
        <v>848</v>
      </c>
      <c r="L26" s="19" t="s">
        <v>849</v>
      </c>
      <c r="M26" s="19" t="s">
        <v>850</v>
      </c>
      <c r="N26" s="19" t="s">
        <v>851</v>
      </c>
      <c r="O26" s="19" t="s">
        <v>852</v>
      </c>
      <c r="P26" s="19" t="s">
        <v>853</v>
      </c>
      <c r="Q26" s="19" t="s">
        <v>854</v>
      </c>
      <c r="R26" s="19" t="s">
        <v>855</v>
      </c>
      <c r="S26" s="19" t="s">
        <v>856</v>
      </c>
      <c r="T26" s="19" t="s">
        <v>857</v>
      </c>
      <c r="U26" s="19" t="s">
        <v>858</v>
      </c>
      <c r="V26" s="21" t="s">
        <v>859</v>
      </c>
    </row>
    <row r="27" spans="1:22" ht="16.05" customHeight="1">
      <c r="A27" s="18" t="s">
        <v>846</v>
      </c>
      <c r="B27" s="19" t="s">
        <v>29</v>
      </c>
      <c r="C27" s="19">
        <v>2</v>
      </c>
      <c r="D27" s="19" t="s">
        <v>282</v>
      </c>
      <c r="E27" s="19" t="s">
        <v>283</v>
      </c>
      <c r="F27" s="20" t="s">
        <v>284</v>
      </c>
      <c r="G27" s="19">
        <v>12</v>
      </c>
      <c r="H27" s="19">
        <v>1</v>
      </c>
      <c r="I27" s="19">
        <v>1</v>
      </c>
      <c r="J27" s="19" t="s">
        <v>860</v>
      </c>
      <c r="K27" s="19" t="s">
        <v>861</v>
      </c>
      <c r="L27" s="19" t="s">
        <v>862</v>
      </c>
      <c r="M27" s="19" t="s">
        <v>863</v>
      </c>
      <c r="N27" s="19" t="s">
        <v>864</v>
      </c>
      <c r="O27" s="19" t="s">
        <v>865</v>
      </c>
      <c r="P27" s="19" t="s">
        <v>866</v>
      </c>
      <c r="Q27" s="19" t="s">
        <v>867</v>
      </c>
      <c r="R27" s="19" t="s">
        <v>868</v>
      </c>
      <c r="S27" s="19" t="s">
        <v>869</v>
      </c>
      <c r="T27" s="19" t="s">
        <v>870</v>
      </c>
      <c r="U27" s="19" t="s">
        <v>871</v>
      </c>
      <c r="V27" s="21" t="s">
        <v>859</v>
      </c>
    </row>
    <row r="28" spans="1:22" ht="16.05" customHeight="1">
      <c r="A28" s="18" t="s">
        <v>846</v>
      </c>
      <c r="B28" s="19" t="s">
        <v>29</v>
      </c>
      <c r="C28" s="19">
        <v>3</v>
      </c>
      <c r="D28" s="19" t="s">
        <v>324</v>
      </c>
      <c r="E28" s="19" t="s">
        <v>325</v>
      </c>
      <c r="F28" s="20" t="s">
        <v>326</v>
      </c>
      <c r="G28" s="19">
        <v>12</v>
      </c>
      <c r="H28" s="19">
        <v>1</v>
      </c>
      <c r="I28" s="19">
        <v>2</v>
      </c>
      <c r="J28" s="19" t="s">
        <v>872</v>
      </c>
      <c r="K28" s="19" t="s">
        <v>873</v>
      </c>
      <c r="L28" s="19" t="s">
        <v>874</v>
      </c>
      <c r="M28" s="19" t="s">
        <v>875</v>
      </c>
      <c r="N28" s="19" t="s">
        <v>876</v>
      </c>
      <c r="O28" s="19" t="s">
        <v>877</v>
      </c>
      <c r="P28" s="19" t="s">
        <v>878</v>
      </c>
      <c r="Q28" s="19" t="s">
        <v>879</v>
      </c>
      <c r="R28" s="19" t="s">
        <v>880</v>
      </c>
      <c r="S28" s="19" t="s">
        <v>881</v>
      </c>
      <c r="T28" s="19" t="s">
        <v>882</v>
      </c>
      <c r="U28" s="19" t="s">
        <v>883</v>
      </c>
      <c r="V28" s="21" t="s">
        <v>859</v>
      </c>
    </row>
    <row r="29" spans="1:22" ht="16.05" customHeight="1">
      <c r="A29" s="18" t="s">
        <v>846</v>
      </c>
      <c r="B29" s="19" t="s">
        <v>29</v>
      </c>
      <c r="C29" s="19">
        <v>4</v>
      </c>
      <c r="D29" s="19" t="s">
        <v>366</v>
      </c>
      <c r="E29" s="19" t="s">
        <v>367</v>
      </c>
      <c r="F29" s="20" t="s">
        <v>368</v>
      </c>
      <c r="G29" s="19">
        <v>12</v>
      </c>
      <c r="H29" s="19">
        <v>1</v>
      </c>
      <c r="I29" s="19">
        <v>3</v>
      </c>
      <c r="J29" s="19" t="s">
        <v>884</v>
      </c>
      <c r="K29" s="19" t="s">
        <v>885</v>
      </c>
      <c r="L29" s="19" t="s">
        <v>886</v>
      </c>
      <c r="M29" s="19" t="s">
        <v>887</v>
      </c>
      <c r="N29" s="19" t="s">
        <v>888</v>
      </c>
      <c r="O29" s="19" t="s">
        <v>889</v>
      </c>
      <c r="P29" s="19" t="s">
        <v>890</v>
      </c>
      <c r="Q29" s="19" t="s">
        <v>891</v>
      </c>
      <c r="R29" s="19" t="s">
        <v>892</v>
      </c>
      <c r="S29" s="19" t="s">
        <v>893</v>
      </c>
      <c r="T29" s="19" t="s">
        <v>894</v>
      </c>
      <c r="U29" s="19" t="s">
        <v>895</v>
      </c>
      <c r="V29" s="21" t="s">
        <v>859</v>
      </c>
    </row>
    <row r="30" spans="1:22" ht="16.05" customHeight="1">
      <c r="A30" s="18" t="s">
        <v>846</v>
      </c>
      <c r="B30" s="19" t="s">
        <v>29</v>
      </c>
      <c r="C30" s="19">
        <v>5</v>
      </c>
      <c r="D30" s="19" t="s">
        <v>408</v>
      </c>
      <c r="E30" s="19" t="s">
        <v>409</v>
      </c>
      <c r="F30" s="20" t="s">
        <v>410</v>
      </c>
      <c r="G30" s="19">
        <v>12</v>
      </c>
      <c r="H30" s="19">
        <v>1</v>
      </c>
      <c r="I30" s="19">
        <v>4</v>
      </c>
      <c r="J30" s="19" t="s">
        <v>896</v>
      </c>
      <c r="K30" s="19" t="s">
        <v>897</v>
      </c>
      <c r="L30" s="19" t="s">
        <v>898</v>
      </c>
      <c r="M30" s="19" t="s">
        <v>899</v>
      </c>
      <c r="N30" s="19" t="s">
        <v>900</v>
      </c>
      <c r="O30" s="19" t="s">
        <v>901</v>
      </c>
      <c r="P30" s="19" t="s">
        <v>902</v>
      </c>
      <c r="Q30" s="19" t="s">
        <v>903</v>
      </c>
      <c r="R30" s="19" t="s">
        <v>904</v>
      </c>
      <c r="S30" s="19" t="s">
        <v>905</v>
      </c>
      <c r="T30" s="19" t="s">
        <v>906</v>
      </c>
      <c r="U30" s="19" t="s">
        <v>907</v>
      </c>
      <c r="V30" s="21" t="s">
        <v>859</v>
      </c>
    </row>
    <row r="31" spans="1:22" ht="16.05" customHeight="1">
      <c r="A31" s="18" t="s">
        <v>846</v>
      </c>
      <c r="B31" s="19" t="s">
        <v>29</v>
      </c>
      <c r="C31" s="19">
        <v>6</v>
      </c>
      <c r="D31" s="19" t="s">
        <v>450</v>
      </c>
      <c r="E31" s="19" t="s">
        <v>451</v>
      </c>
      <c r="F31" s="20" t="s">
        <v>452</v>
      </c>
      <c r="G31" s="19">
        <v>12</v>
      </c>
      <c r="H31" s="19">
        <v>1</v>
      </c>
      <c r="I31" s="19">
        <v>5</v>
      </c>
      <c r="J31" s="19" t="s">
        <v>908</v>
      </c>
      <c r="K31" s="19" t="s">
        <v>909</v>
      </c>
      <c r="L31" s="19" t="s">
        <v>910</v>
      </c>
      <c r="M31" s="19" t="s">
        <v>911</v>
      </c>
      <c r="N31" s="19" t="s">
        <v>912</v>
      </c>
      <c r="O31" s="19" t="s">
        <v>913</v>
      </c>
      <c r="P31" s="19" t="s">
        <v>914</v>
      </c>
      <c r="Q31" s="19" t="s">
        <v>915</v>
      </c>
      <c r="R31" s="19" t="s">
        <v>916</v>
      </c>
      <c r="S31" s="19" t="s">
        <v>917</v>
      </c>
      <c r="T31" s="19" t="s">
        <v>918</v>
      </c>
      <c r="U31" s="19" t="s">
        <v>919</v>
      </c>
      <c r="V31" s="21" t="s">
        <v>859</v>
      </c>
    </row>
    <row r="32" spans="1:22" ht="16.05" customHeight="1">
      <c r="A32" s="18" t="s">
        <v>846</v>
      </c>
      <c r="B32" s="19" t="s">
        <v>29</v>
      </c>
      <c r="C32" s="19">
        <v>7</v>
      </c>
      <c r="D32" s="19" t="s">
        <v>492</v>
      </c>
      <c r="E32" s="19" t="s">
        <v>493</v>
      </c>
      <c r="F32" s="20" t="s">
        <v>494</v>
      </c>
      <c r="G32" s="19">
        <v>12</v>
      </c>
      <c r="H32" s="19">
        <v>1</v>
      </c>
      <c r="I32" s="19">
        <v>6</v>
      </c>
      <c r="J32" s="19" t="s">
        <v>920</v>
      </c>
      <c r="K32" s="19" t="s">
        <v>921</v>
      </c>
      <c r="L32" s="19" t="s">
        <v>922</v>
      </c>
      <c r="M32" s="19" t="s">
        <v>923</v>
      </c>
      <c r="N32" s="19" t="s">
        <v>924</v>
      </c>
      <c r="O32" s="19" t="s">
        <v>925</v>
      </c>
      <c r="P32" s="19" t="s">
        <v>926</v>
      </c>
      <c r="Q32" s="19" t="s">
        <v>927</v>
      </c>
      <c r="R32" s="19" t="s">
        <v>928</v>
      </c>
      <c r="S32" s="19" t="s">
        <v>929</v>
      </c>
      <c r="T32" s="19" t="s">
        <v>930</v>
      </c>
      <c r="U32" s="19" t="s">
        <v>931</v>
      </c>
      <c r="V32" s="21" t="s">
        <v>859</v>
      </c>
    </row>
    <row r="33" spans="1:22" ht="16.05" customHeight="1">
      <c r="A33" s="18" t="s">
        <v>846</v>
      </c>
      <c r="B33" s="19" t="s">
        <v>29</v>
      </c>
      <c r="C33" s="19">
        <v>8</v>
      </c>
      <c r="D33" s="19" t="s">
        <v>534</v>
      </c>
      <c r="E33" s="19" t="s">
        <v>535</v>
      </c>
      <c r="F33" s="20" t="s">
        <v>536</v>
      </c>
      <c r="G33" s="19">
        <v>12</v>
      </c>
      <c r="H33" s="19">
        <v>1</v>
      </c>
      <c r="I33" s="19">
        <v>7</v>
      </c>
      <c r="J33" s="19" t="s">
        <v>932</v>
      </c>
      <c r="K33" s="19" t="s">
        <v>933</v>
      </c>
      <c r="L33" s="19" t="s">
        <v>934</v>
      </c>
      <c r="M33" s="19" t="s">
        <v>935</v>
      </c>
      <c r="N33" s="19" t="s">
        <v>936</v>
      </c>
      <c r="O33" s="19" t="s">
        <v>937</v>
      </c>
      <c r="P33" s="19" t="s">
        <v>938</v>
      </c>
      <c r="Q33" s="19" t="s">
        <v>939</v>
      </c>
      <c r="R33" s="19" t="s">
        <v>940</v>
      </c>
      <c r="S33" s="19" t="s">
        <v>941</v>
      </c>
      <c r="T33" s="19" t="s">
        <v>942</v>
      </c>
      <c r="U33" s="19" t="s">
        <v>943</v>
      </c>
      <c r="V33" s="21" t="s">
        <v>859</v>
      </c>
    </row>
    <row r="34" spans="1:22" ht="16.05" customHeight="1">
      <c r="A34" s="18" t="s">
        <v>846</v>
      </c>
      <c r="B34" s="19" t="s">
        <v>29</v>
      </c>
      <c r="C34" s="19">
        <v>9</v>
      </c>
      <c r="D34" s="19" t="s">
        <v>576</v>
      </c>
      <c r="E34" s="19" t="s">
        <v>577</v>
      </c>
      <c r="F34" s="20" t="s">
        <v>578</v>
      </c>
      <c r="G34" s="19">
        <v>12</v>
      </c>
      <c r="H34" s="19">
        <v>1</v>
      </c>
      <c r="I34" s="19">
        <v>8</v>
      </c>
      <c r="J34" s="19" t="s">
        <v>944</v>
      </c>
      <c r="K34" s="19" t="s">
        <v>945</v>
      </c>
      <c r="L34" s="19" t="s">
        <v>946</v>
      </c>
      <c r="M34" s="19" t="s">
        <v>947</v>
      </c>
      <c r="N34" s="19" t="s">
        <v>948</v>
      </c>
      <c r="O34" s="19" t="s">
        <v>949</v>
      </c>
      <c r="P34" s="19" t="s">
        <v>950</v>
      </c>
      <c r="Q34" s="19" t="s">
        <v>951</v>
      </c>
      <c r="R34" s="19" t="s">
        <v>952</v>
      </c>
      <c r="S34" s="19" t="s">
        <v>953</v>
      </c>
      <c r="T34" s="19" t="s">
        <v>954</v>
      </c>
      <c r="U34" s="19" t="s">
        <v>955</v>
      </c>
      <c r="V34" s="21" t="s">
        <v>859</v>
      </c>
    </row>
    <row r="35" spans="1:22" ht="16.05" customHeight="1">
      <c r="A35" s="18" t="s">
        <v>846</v>
      </c>
      <c r="B35" s="19" t="s">
        <v>29</v>
      </c>
      <c r="C35" s="19">
        <v>10</v>
      </c>
      <c r="D35" s="19" t="s">
        <v>612</v>
      </c>
      <c r="E35" s="19" t="s">
        <v>613</v>
      </c>
      <c r="F35" s="20" t="s">
        <v>614</v>
      </c>
      <c r="G35" s="19">
        <v>12</v>
      </c>
      <c r="H35" s="19">
        <v>1</v>
      </c>
      <c r="I35" s="19">
        <v>9</v>
      </c>
      <c r="J35" s="19" t="s">
        <v>956</v>
      </c>
      <c r="K35" s="19" t="s">
        <v>957</v>
      </c>
      <c r="L35" s="19" t="s">
        <v>958</v>
      </c>
      <c r="M35" s="19" t="s">
        <v>959</v>
      </c>
      <c r="N35" s="19" t="s">
        <v>960</v>
      </c>
      <c r="O35" s="19" t="s">
        <v>961</v>
      </c>
      <c r="P35" s="19" t="s">
        <v>962</v>
      </c>
      <c r="Q35" s="19" t="s">
        <v>963</v>
      </c>
      <c r="R35" s="19" t="s">
        <v>964</v>
      </c>
      <c r="S35" s="19" t="s">
        <v>965</v>
      </c>
      <c r="T35" s="19" t="s">
        <v>966</v>
      </c>
      <c r="U35" s="19" t="s">
        <v>967</v>
      </c>
      <c r="V35" s="21" t="s">
        <v>859</v>
      </c>
    </row>
    <row r="36" spans="1:22" ht="16.05" customHeight="1">
      <c r="A36" s="18" t="s">
        <v>846</v>
      </c>
      <c r="B36" s="19" t="s">
        <v>29</v>
      </c>
      <c r="C36" s="19">
        <v>11</v>
      </c>
      <c r="D36" s="19" t="s">
        <v>645</v>
      </c>
      <c r="E36" s="19" t="s">
        <v>646</v>
      </c>
      <c r="F36" s="20" t="s">
        <v>647</v>
      </c>
      <c r="G36" s="19">
        <v>12</v>
      </c>
      <c r="H36" s="19">
        <v>1</v>
      </c>
      <c r="I36" s="19">
        <v>10</v>
      </c>
      <c r="J36" s="19" t="s">
        <v>968</v>
      </c>
      <c r="K36" s="19" t="s">
        <v>969</v>
      </c>
      <c r="L36" s="19" t="s">
        <v>970</v>
      </c>
      <c r="M36" s="19" t="s">
        <v>971</v>
      </c>
      <c r="N36" s="19" t="s">
        <v>972</v>
      </c>
      <c r="O36" s="19" t="s">
        <v>973</v>
      </c>
      <c r="P36" s="19" t="s">
        <v>974</v>
      </c>
      <c r="Q36" s="19" t="s">
        <v>975</v>
      </c>
      <c r="R36" s="19" t="s">
        <v>976</v>
      </c>
      <c r="S36" s="19" t="s">
        <v>977</v>
      </c>
      <c r="T36" s="19" t="s">
        <v>978</v>
      </c>
      <c r="U36" s="19" t="s">
        <v>979</v>
      </c>
      <c r="V36" s="21" t="s">
        <v>859</v>
      </c>
    </row>
    <row r="37" spans="1:22" ht="16.05" customHeight="1">
      <c r="A37" s="18" t="s">
        <v>846</v>
      </c>
      <c r="B37" s="19" t="s">
        <v>32</v>
      </c>
      <c r="C37" s="19">
        <v>1</v>
      </c>
      <c r="D37" s="19" t="s">
        <v>243</v>
      </c>
      <c r="E37" s="19" t="s">
        <v>244</v>
      </c>
      <c r="F37" s="20" t="s">
        <v>245</v>
      </c>
      <c r="G37" s="19">
        <v>12</v>
      </c>
      <c r="H37" s="19">
        <v>1</v>
      </c>
      <c r="I37" s="19">
        <v>0</v>
      </c>
      <c r="J37" s="19" t="s">
        <v>847</v>
      </c>
      <c r="K37" s="19" t="s">
        <v>848</v>
      </c>
      <c r="L37" s="19" t="s">
        <v>849</v>
      </c>
      <c r="M37" s="19" t="s">
        <v>850</v>
      </c>
      <c r="N37" s="19" t="s">
        <v>851</v>
      </c>
      <c r="O37" s="19" t="s">
        <v>852</v>
      </c>
      <c r="P37" s="19" t="s">
        <v>853</v>
      </c>
      <c r="Q37" s="19" t="s">
        <v>854</v>
      </c>
      <c r="R37" s="19" t="s">
        <v>855</v>
      </c>
      <c r="S37" s="19" t="s">
        <v>856</v>
      </c>
      <c r="T37" s="19" t="s">
        <v>857</v>
      </c>
      <c r="U37" s="19" t="s">
        <v>858</v>
      </c>
      <c r="V37" s="21" t="s">
        <v>859</v>
      </c>
    </row>
    <row r="38" spans="1:22" ht="16.05" customHeight="1">
      <c r="A38" s="18" t="s">
        <v>846</v>
      </c>
      <c r="B38" s="19" t="s">
        <v>32</v>
      </c>
      <c r="C38" s="19">
        <v>2</v>
      </c>
      <c r="D38" s="19" t="s">
        <v>285</v>
      </c>
      <c r="E38" s="19" t="s">
        <v>286</v>
      </c>
      <c r="F38" s="20" t="s">
        <v>287</v>
      </c>
      <c r="G38" s="19">
        <v>12</v>
      </c>
      <c r="H38" s="19">
        <v>1</v>
      </c>
      <c r="I38" s="19">
        <v>1</v>
      </c>
      <c r="J38" s="19" t="s">
        <v>860</v>
      </c>
      <c r="K38" s="19" t="s">
        <v>861</v>
      </c>
      <c r="L38" s="19" t="s">
        <v>862</v>
      </c>
      <c r="M38" s="19" t="s">
        <v>863</v>
      </c>
      <c r="N38" s="19" t="s">
        <v>864</v>
      </c>
      <c r="O38" s="19" t="s">
        <v>865</v>
      </c>
      <c r="P38" s="19" t="s">
        <v>866</v>
      </c>
      <c r="Q38" s="19" t="s">
        <v>867</v>
      </c>
      <c r="R38" s="19" t="s">
        <v>868</v>
      </c>
      <c r="S38" s="19" t="s">
        <v>869</v>
      </c>
      <c r="T38" s="19" t="s">
        <v>870</v>
      </c>
      <c r="U38" s="19" t="s">
        <v>871</v>
      </c>
      <c r="V38" s="21" t="s">
        <v>859</v>
      </c>
    </row>
    <row r="39" spans="1:22" ht="16.05" customHeight="1">
      <c r="A39" s="18" t="s">
        <v>846</v>
      </c>
      <c r="B39" s="19" t="s">
        <v>32</v>
      </c>
      <c r="C39" s="19">
        <v>3</v>
      </c>
      <c r="D39" s="19" t="s">
        <v>327</v>
      </c>
      <c r="E39" s="19" t="s">
        <v>328</v>
      </c>
      <c r="F39" s="20" t="s">
        <v>329</v>
      </c>
      <c r="G39" s="19">
        <v>12</v>
      </c>
      <c r="H39" s="19">
        <v>1</v>
      </c>
      <c r="I39" s="19">
        <v>2</v>
      </c>
      <c r="J39" s="19" t="s">
        <v>872</v>
      </c>
      <c r="K39" s="19" t="s">
        <v>873</v>
      </c>
      <c r="L39" s="19" t="s">
        <v>874</v>
      </c>
      <c r="M39" s="19" t="s">
        <v>875</v>
      </c>
      <c r="N39" s="19" t="s">
        <v>876</v>
      </c>
      <c r="O39" s="19" t="s">
        <v>877</v>
      </c>
      <c r="P39" s="19" t="s">
        <v>878</v>
      </c>
      <c r="Q39" s="19" t="s">
        <v>879</v>
      </c>
      <c r="R39" s="19" t="s">
        <v>880</v>
      </c>
      <c r="S39" s="19" t="s">
        <v>881</v>
      </c>
      <c r="T39" s="19" t="s">
        <v>882</v>
      </c>
      <c r="U39" s="19" t="s">
        <v>883</v>
      </c>
      <c r="V39" s="21" t="s">
        <v>859</v>
      </c>
    </row>
    <row r="40" spans="1:22" ht="16.05" customHeight="1">
      <c r="A40" s="18" t="s">
        <v>846</v>
      </c>
      <c r="B40" s="19" t="s">
        <v>32</v>
      </c>
      <c r="C40" s="19">
        <v>4</v>
      </c>
      <c r="D40" s="19" t="s">
        <v>369</v>
      </c>
      <c r="E40" s="19" t="s">
        <v>370</v>
      </c>
      <c r="F40" s="20" t="s">
        <v>371</v>
      </c>
      <c r="G40" s="19">
        <v>12</v>
      </c>
      <c r="H40" s="19">
        <v>1</v>
      </c>
      <c r="I40" s="19">
        <v>3</v>
      </c>
      <c r="J40" s="19" t="s">
        <v>884</v>
      </c>
      <c r="K40" s="19" t="s">
        <v>885</v>
      </c>
      <c r="L40" s="19" t="s">
        <v>886</v>
      </c>
      <c r="M40" s="19" t="s">
        <v>887</v>
      </c>
      <c r="N40" s="19" t="s">
        <v>888</v>
      </c>
      <c r="O40" s="19" t="s">
        <v>889</v>
      </c>
      <c r="P40" s="19" t="s">
        <v>890</v>
      </c>
      <c r="Q40" s="19" t="s">
        <v>891</v>
      </c>
      <c r="R40" s="19" t="s">
        <v>892</v>
      </c>
      <c r="S40" s="19" t="s">
        <v>893</v>
      </c>
      <c r="T40" s="19" t="s">
        <v>894</v>
      </c>
      <c r="U40" s="19" t="s">
        <v>895</v>
      </c>
      <c r="V40" s="21" t="s">
        <v>859</v>
      </c>
    </row>
    <row r="41" spans="1:22" ht="16.05" customHeight="1">
      <c r="A41" s="18" t="s">
        <v>846</v>
      </c>
      <c r="B41" s="19" t="s">
        <v>32</v>
      </c>
      <c r="C41" s="19">
        <v>5</v>
      </c>
      <c r="D41" s="19" t="s">
        <v>411</v>
      </c>
      <c r="E41" s="19" t="s">
        <v>412</v>
      </c>
      <c r="F41" s="20" t="s">
        <v>413</v>
      </c>
      <c r="G41" s="19">
        <v>12</v>
      </c>
      <c r="H41" s="19">
        <v>1</v>
      </c>
      <c r="I41" s="19">
        <v>4</v>
      </c>
      <c r="J41" s="19" t="s">
        <v>896</v>
      </c>
      <c r="K41" s="19" t="s">
        <v>897</v>
      </c>
      <c r="L41" s="19" t="s">
        <v>898</v>
      </c>
      <c r="M41" s="19" t="s">
        <v>899</v>
      </c>
      <c r="N41" s="19" t="s">
        <v>900</v>
      </c>
      <c r="O41" s="19" t="s">
        <v>901</v>
      </c>
      <c r="P41" s="19" t="s">
        <v>902</v>
      </c>
      <c r="Q41" s="19" t="s">
        <v>903</v>
      </c>
      <c r="R41" s="19" t="s">
        <v>904</v>
      </c>
      <c r="S41" s="19" t="s">
        <v>905</v>
      </c>
      <c r="T41" s="19" t="s">
        <v>906</v>
      </c>
      <c r="U41" s="19" t="s">
        <v>907</v>
      </c>
      <c r="V41" s="21" t="s">
        <v>859</v>
      </c>
    </row>
    <row r="42" spans="1:22" ht="16.05" customHeight="1">
      <c r="A42" s="18" t="s">
        <v>846</v>
      </c>
      <c r="B42" s="19" t="s">
        <v>32</v>
      </c>
      <c r="C42" s="19">
        <v>6</v>
      </c>
      <c r="D42" s="19" t="s">
        <v>453</v>
      </c>
      <c r="E42" s="19" t="s">
        <v>454</v>
      </c>
      <c r="F42" s="20" t="s">
        <v>455</v>
      </c>
      <c r="G42" s="19">
        <v>12</v>
      </c>
      <c r="H42" s="19">
        <v>1</v>
      </c>
      <c r="I42" s="19">
        <v>5</v>
      </c>
      <c r="J42" s="19" t="s">
        <v>908</v>
      </c>
      <c r="K42" s="19" t="s">
        <v>909</v>
      </c>
      <c r="L42" s="19" t="s">
        <v>910</v>
      </c>
      <c r="M42" s="19" t="s">
        <v>911</v>
      </c>
      <c r="N42" s="19" t="s">
        <v>912</v>
      </c>
      <c r="O42" s="19" t="s">
        <v>913</v>
      </c>
      <c r="P42" s="19" t="s">
        <v>914</v>
      </c>
      <c r="Q42" s="19" t="s">
        <v>915</v>
      </c>
      <c r="R42" s="19" t="s">
        <v>916</v>
      </c>
      <c r="S42" s="19" t="s">
        <v>917</v>
      </c>
      <c r="T42" s="19" t="s">
        <v>918</v>
      </c>
      <c r="U42" s="19" t="s">
        <v>919</v>
      </c>
      <c r="V42" s="21" t="s">
        <v>859</v>
      </c>
    </row>
    <row r="43" spans="1:22" ht="16.05" customHeight="1">
      <c r="A43" s="18" t="s">
        <v>846</v>
      </c>
      <c r="B43" s="19" t="s">
        <v>32</v>
      </c>
      <c r="C43" s="19">
        <v>7</v>
      </c>
      <c r="D43" s="19" t="s">
        <v>495</v>
      </c>
      <c r="E43" s="19" t="s">
        <v>496</v>
      </c>
      <c r="F43" s="20" t="s">
        <v>497</v>
      </c>
      <c r="G43" s="19">
        <v>12</v>
      </c>
      <c r="H43" s="19">
        <v>1</v>
      </c>
      <c r="I43" s="19">
        <v>6</v>
      </c>
      <c r="J43" s="19" t="s">
        <v>920</v>
      </c>
      <c r="K43" s="19" t="s">
        <v>921</v>
      </c>
      <c r="L43" s="19" t="s">
        <v>922</v>
      </c>
      <c r="M43" s="19" t="s">
        <v>923</v>
      </c>
      <c r="N43" s="19" t="s">
        <v>924</v>
      </c>
      <c r="O43" s="19" t="s">
        <v>925</v>
      </c>
      <c r="P43" s="19" t="s">
        <v>926</v>
      </c>
      <c r="Q43" s="19" t="s">
        <v>927</v>
      </c>
      <c r="R43" s="19" t="s">
        <v>928</v>
      </c>
      <c r="S43" s="19" t="s">
        <v>929</v>
      </c>
      <c r="T43" s="19" t="s">
        <v>930</v>
      </c>
      <c r="U43" s="19" t="s">
        <v>931</v>
      </c>
      <c r="V43" s="21" t="s">
        <v>859</v>
      </c>
    </row>
    <row r="44" spans="1:22" ht="16.05" customHeight="1">
      <c r="A44" s="18" t="s">
        <v>846</v>
      </c>
      <c r="B44" s="19" t="s">
        <v>32</v>
      </c>
      <c r="C44" s="19">
        <v>8</v>
      </c>
      <c r="D44" s="19" t="s">
        <v>537</v>
      </c>
      <c r="E44" s="19" t="s">
        <v>538</v>
      </c>
      <c r="F44" s="20" t="s">
        <v>539</v>
      </c>
      <c r="G44" s="19">
        <v>12</v>
      </c>
      <c r="H44" s="19">
        <v>1</v>
      </c>
      <c r="I44" s="19">
        <v>7</v>
      </c>
      <c r="J44" s="19" t="s">
        <v>932</v>
      </c>
      <c r="K44" s="19" t="s">
        <v>933</v>
      </c>
      <c r="L44" s="19" t="s">
        <v>934</v>
      </c>
      <c r="M44" s="19" t="s">
        <v>935</v>
      </c>
      <c r="N44" s="19" t="s">
        <v>936</v>
      </c>
      <c r="O44" s="19" t="s">
        <v>937</v>
      </c>
      <c r="P44" s="19" t="s">
        <v>938</v>
      </c>
      <c r="Q44" s="19" t="s">
        <v>939</v>
      </c>
      <c r="R44" s="19" t="s">
        <v>940</v>
      </c>
      <c r="S44" s="19" t="s">
        <v>941</v>
      </c>
      <c r="T44" s="19" t="s">
        <v>942</v>
      </c>
      <c r="U44" s="19" t="s">
        <v>943</v>
      </c>
      <c r="V44" s="21" t="s">
        <v>859</v>
      </c>
    </row>
    <row r="45" spans="1:22" ht="16.05" customHeight="1">
      <c r="A45" s="18" t="s">
        <v>846</v>
      </c>
      <c r="B45" s="19" t="s">
        <v>32</v>
      </c>
      <c r="C45" s="19">
        <v>9</v>
      </c>
      <c r="D45" s="19" t="s">
        <v>579</v>
      </c>
      <c r="E45" s="19" t="s">
        <v>580</v>
      </c>
      <c r="F45" s="20" t="s">
        <v>581</v>
      </c>
      <c r="G45" s="19">
        <v>12</v>
      </c>
      <c r="H45" s="19">
        <v>1</v>
      </c>
      <c r="I45" s="19">
        <v>8</v>
      </c>
      <c r="J45" s="19" t="s">
        <v>944</v>
      </c>
      <c r="K45" s="19" t="s">
        <v>945</v>
      </c>
      <c r="L45" s="19" t="s">
        <v>946</v>
      </c>
      <c r="M45" s="19" t="s">
        <v>947</v>
      </c>
      <c r="N45" s="19" t="s">
        <v>948</v>
      </c>
      <c r="O45" s="19" t="s">
        <v>949</v>
      </c>
      <c r="P45" s="19" t="s">
        <v>950</v>
      </c>
      <c r="Q45" s="19" t="s">
        <v>951</v>
      </c>
      <c r="R45" s="19" t="s">
        <v>952</v>
      </c>
      <c r="S45" s="19" t="s">
        <v>953</v>
      </c>
      <c r="T45" s="19" t="s">
        <v>954</v>
      </c>
      <c r="U45" s="19" t="s">
        <v>955</v>
      </c>
      <c r="V45" s="21" t="s">
        <v>859</v>
      </c>
    </row>
    <row r="46" spans="1:22" ht="16.05" customHeight="1">
      <c r="A46" s="18" t="s">
        <v>846</v>
      </c>
      <c r="B46" s="19" t="s">
        <v>32</v>
      </c>
      <c r="C46" s="19">
        <v>10</v>
      </c>
      <c r="D46" s="19" t="s">
        <v>615</v>
      </c>
      <c r="E46" s="19" t="s">
        <v>616</v>
      </c>
      <c r="F46" s="20" t="s">
        <v>617</v>
      </c>
      <c r="G46" s="19">
        <v>12</v>
      </c>
      <c r="H46" s="19">
        <v>1</v>
      </c>
      <c r="I46" s="19">
        <v>9</v>
      </c>
      <c r="J46" s="19" t="s">
        <v>956</v>
      </c>
      <c r="K46" s="19" t="s">
        <v>957</v>
      </c>
      <c r="L46" s="19" t="s">
        <v>958</v>
      </c>
      <c r="M46" s="19" t="s">
        <v>959</v>
      </c>
      <c r="N46" s="19" t="s">
        <v>960</v>
      </c>
      <c r="O46" s="19" t="s">
        <v>961</v>
      </c>
      <c r="P46" s="19" t="s">
        <v>962</v>
      </c>
      <c r="Q46" s="19" t="s">
        <v>963</v>
      </c>
      <c r="R46" s="19" t="s">
        <v>964</v>
      </c>
      <c r="S46" s="19" t="s">
        <v>965</v>
      </c>
      <c r="T46" s="19" t="s">
        <v>966</v>
      </c>
      <c r="U46" s="19" t="s">
        <v>967</v>
      </c>
      <c r="V46" s="21" t="s">
        <v>859</v>
      </c>
    </row>
    <row r="47" spans="1:22" ht="16.05" customHeight="1">
      <c r="A47" s="18" t="s">
        <v>846</v>
      </c>
      <c r="B47" s="19" t="s">
        <v>35</v>
      </c>
      <c r="C47" s="19">
        <v>1</v>
      </c>
      <c r="D47" s="19" t="s">
        <v>246</v>
      </c>
      <c r="E47" s="19" t="s">
        <v>247</v>
      </c>
      <c r="F47" s="20" t="s">
        <v>248</v>
      </c>
      <c r="G47" s="19">
        <v>12</v>
      </c>
      <c r="H47" s="19">
        <v>1</v>
      </c>
      <c r="I47" s="19">
        <v>0</v>
      </c>
      <c r="J47" s="19" t="s">
        <v>847</v>
      </c>
      <c r="K47" s="19" t="s">
        <v>848</v>
      </c>
      <c r="L47" s="19" t="s">
        <v>849</v>
      </c>
      <c r="M47" s="19" t="s">
        <v>850</v>
      </c>
      <c r="N47" s="19" t="s">
        <v>851</v>
      </c>
      <c r="O47" s="19" t="s">
        <v>852</v>
      </c>
      <c r="P47" s="19" t="s">
        <v>853</v>
      </c>
      <c r="Q47" s="19" t="s">
        <v>854</v>
      </c>
      <c r="R47" s="19" t="s">
        <v>855</v>
      </c>
      <c r="S47" s="19" t="s">
        <v>856</v>
      </c>
      <c r="T47" s="19" t="s">
        <v>857</v>
      </c>
      <c r="U47" s="19" t="s">
        <v>858</v>
      </c>
      <c r="V47" s="21" t="s">
        <v>859</v>
      </c>
    </row>
    <row r="48" spans="1:22" ht="16.05" customHeight="1">
      <c r="A48" s="18" t="s">
        <v>846</v>
      </c>
      <c r="B48" s="19" t="s">
        <v>35</v>
      </c>
      <c r="C48" s="19">
        <v>2</v>
      </c>
      <c r="D48" s="19" t="s">
        <v>288</v>
      </c>
      <c r="E48" s="19" t="s">
        <v>289</v>
      </c>
      <c r="F48" s="20" t="s">
        <v>290</v>
      </c>
      <c r="G48" s="19">
        <v>12</v>
      </c>
      <c r="H48" s="19">
        <v>1</v>
      </c>
      <c r="I48" s="19">
        <v>1</v>
      </c>
      <c r="J48" s="19" t="s">
        <v>860</v>
      </c>
      <c r="K48" s="19" t="s">
        <v>861</v>
      </c>
      <c r="L48" s="19" t="s">
        <v>862</v>
      </c>
      <c r="M48" s="19" t="s">
        <v>863</v>
      </c>
      <c r="N48" s="19" t="s">
        <v>864</v>
      </c>
      <c r="O48" s="19" t="s">
        <v>865</v>
      </c>
      <c r="P48" s="19" t="s">
        <v>866</v>
      </c>
      <c r="Q48" s="19" t="s">
        <v>867</v>
      </c>
      <c r="R48" s="19" t="s">
        <v>868</v>
      </c>
      <c r="S48" s="19" t="s">
        <v>869</v>
      </c>
      <c r="T48" s="19" t="s">
        <v>870</v>
      </c>
      <c r="U48" s="19" t="s">
        <v>871</v>
      </c>
      <c r="V48" s="21" t="s">
        <v>859</v>
      </c>
    </row>
    <row r="49" spans="1:22" ht="16.05" customHeight="1">
      <c r="A49" s="18" t="s">
        <v>846</v>
      </c>
      <c r="B49" s="19" t="s">
        <v>35</v>
      </c>
      <c r="C49" s="19">
        <v>3</v>
      </c>
      <c r="D49" s="19" t="s">
        <v>330</v>
      </c>
      <c r="E49" s="19" t="s">
        <v>331</v>
      </c>
      <c r="F49" s="20" t="s">
        <v>332</v>
      </c>
      <c r="G49" s="19">
        <v>12</v>
      </c>
      <c r="H49" s="19">
        <v>1</v>
      </c>
      <c r="I49" s="19">
        <v>2</v>
      </c>
      <c r="J49" s="19" t="s">
        <v>872</v>
      </c>
      <c r="K49" s="19" t="s">
        <v>873</v>
      </c>
      <c r="L49" s="19" t="s">
        <v>874</v>
      </c>
      <c r="M49" s="19" t="s">
        <v>875</v>
      </c>
      <c r="N49" s="19" t="s">
        <v>876</v>
      </c>
      <c r="O49" s="19" t="s">
        <v>877</v>
      </c>
      <c r="P49" s="19" t="s">
        <v>878</v>
      </c>
      <c r="Q49" s="19" t="s">
        <v>879</v>
      </c>
      <c r="R49" s="19" t="s">
        <v>880</v>
      </c>
      <c r="S49" s="19" t="s">
        <v>881</v>
      </c>
      <c r="T49" s="19" t="s">
        <v>882</v>
      </c>
      <c r="U49" s="19" t="s">
        <v>883</v>
      </c>
      <c r="V49" s="21" t="s">
        <v>859</v>
      </c>
    </row>
    <row r="50" spans="1:22" ht="16.05" customHeight="1">
      <c r="A50" s="18" t="s">
        <v>846</v>
      </c>
      <c r="B50" s="19" t="s">
        <v>35</v>
      </c>
      <c r="C50" s="19">
        <v>4</v>
      </c>
      <c r="D50" s="19" t="s">
        <v>372</v>
      </c>
      <c r="E50" s="19" t="s">
        <v>373</v>
      </c>
      <c r="F50" s="20" t="s">
        <v>374</v>
      </c>
      <c r="G50" s="19">
        <v>12</v>
      </c>
      <c r="H50" s="19">
        <v>1</v>
      </c>
      <c r="I50" s="19">
        <v>3</v>
      </c>
      <c r="J50" s="19" t="s">
        <v>884</v>
      </c>
      <c r="K50" s="19" t="s">
        <v>885</v>
      </c>
      <c r="L50" s="19" t="s">
        <v>886</v>
      </c>
      <c r="M50" s="19" t="s">
        <v>887</v>
      </c>
      <c r="N50" s="19" t="s">
        <v>888</v>
      </c>
      <c r="O50" s="19" t="s">
        <v>889</v>
      </c>
      <c r="P50" s="19" t="s">
        <v>890</v>
      </c>
      <c r="Q50" s="19" t="s">
        <v>891</v>
      </c>
      <c r="R50" s="19" t="s">
        <v>892</v>
      </c>
      <c r="S50" s="19" t="s">
        <v>893</v>
      </c>
      <c r="T50" s="19" t="s">
        <v>894</v>
      </c>
      <c r="U50" s="19" t="s">
        <v>895</v>
      </c>
      <c r="V50" s="21" t="s">
        <v>859</v>
      </c>
    </row>
    <row r="51" spans="1:22" ht="16.05" customHeight="1">
      <c r="A51" s="18" t="s">
        <v>846</v>
      </c>
      <c r="B51" s="19" t="s">
        <v>35</v>
      </c>
      <c r="C51" s="19">
        <v>5</v>
      </c>
      <c r="D51" s="19" t="s">
        <v>414</v>
      </c>
      <c r="E51" s="19" t="s">
        <v>415</v>
      </c>
      <c r="F51" s="20" t="s">
        <v>416</v>
      </c>
      <c r="G51" s="19">
        <v>12</v>
      </c>
      <c r="H51" s="19">
        <v>1</v>
      </c>
      <c r="I51" s="19">
        <v>4</v>
      </c>
      <c r="J51" s="19" t="s">
        <v>896</v>
      </c>
      <c r="K51" s="19" t="s">
        <v>897</v>
      </c>
      <c r="L51" s="19" t="s">
        <v>898</v>
      </c>
      <c r="M51" s="19" t="s">
        <v>899</v>
      </c>
      <c r="N51" s="19" t="s">
        <v>900</v>
      </c>
      <c r="O51" s="19" t="s">
        <v>901</v>
      </c>
      <c r="P51" s="19" t="s">
        <v>902</v>
      </c>
      <c r="Q51" s="19" t="s">
        <v>903</v>
      </c>
      <c r="R51" s="19" t="s">
        <v>904</v>
      </c>
      <c r="S51" s="19" t="s">
        <v>905</v>
      </c>
      <c r="T51" s="19" t="s">
        <v>906</v>
      </c>
      <c r="U51" s="19" t="s">
        <v>907</v>
      </c>
      <c r="V51" s="21" t="s">
        <v>859</v>
      </c>
    </row>
    <row r="52" spans="1:22" ht="16.05" customHeight="1">
      <c r="A52" s="18" t="s">
        <v>846</v>
      </c>
      <c r="B52" s="19" t="s">
        <v>35</v>
      </c>
      <c r="C52" s="19">
        <v>6</v>
      </c>
      <c r="D52" s="19" t="s">
        <v>456</v>
      </c>
      <c r="E52" s="19" t="s">
        <v>457</v>
      </c>
      <c r="F52" s="20" t="s">
        <v>458</v>
      </c>
      <c r="G52" s="19">
        <v>12</v>
      </c>
      <c r="H52" s="19">
        <v>1</v>
      </c>
      <c r="I52" s="19">
        <v>5</v>
      </c>
      <c r="J52" s="19" t="s">
        <v>908</v>
      </c>
      <c r="K52" s="19" t="s">
        <v>909</v>
      </c>
      <c r="L52" s="19" t="s">
        <v>910</v>
      </c>
      <c r="M52" s="19" t="s">
        <v>911</v>
      </c>
      <c r="N52" s="19" t="s">
        <v>912</v>
      </c>
      <c r="O52" s="19" t="s">
        <v>913</v>
      </c>
      <c r="P52" s="19" t="s">
        <v>914</v>
      </c>
      <c r="Q52" s="19" t="s">
        <v>915</v>
      </c>
      <c r="R52" s="19" t="s">
        <v>916</v>
      </c>
      <c r="S52" s="19" t="s">
        <v>917</v>
      </c>
      <c r="T52" s="19" t="s">
        <v>918</v>
      </c>
      <c r="U52" s="19" t="s">
        <v>919</v>
      </c>
      <c r="V52" s="21" t="s">
        <v>859</v>
      </c>
    </row>
    <row r="53" spans="1:22" ht="16.05" customHeight="1">
      <c r="A53" s="18" t="s">
        <v>846</v>
      </c>
      <c r="B53" s="19" t="s">
        <v>35</v>
      </c>
      <c r="C53" s="19">
        <v>7</v>
      </c>
      <c r="D53" s="19" t="s">
        <v>498</v>
      </c>
      <c r="E53" s="19" t="s">
        <v>499</v>
      </c>
      <c r="F53" s="20" t="s">
        <v>500</v>
      </c>
      <c r="G53" s="19">
        <v>12</v>
      </c>
      <c r="H53" s="19">
        <v>1</v>
      </c>
      <c r="I53" s="19">
        <v>6</v>
      </c>
      <c r="J53" s="19" t="s">
        <v>920</v>
      </c>
      <c r="K53" s="19" t="s">
        <v>921</v>
      </c>
      <c r="L53" s="19" t="s">
        <v>922</v>
      </c>
      <c r="M53" s="19" t="s">
        <v>923</v>
      </c>
      <c r="N53" s="19" t="s">
        <v>924</v>
      </c>
      <c r="O53" s="19" t="s">
        <v>925</v>
      </c>
      <c r="P53" s="19" t="s">
        <v>926</v>
      </c>
      <c r="Q53" s="19" t="s">
        <v>927</v>
      </c>
      <c r="R53" s="19" t="s">
        <v>928</v>
      </c>
      <c r="S53" s="19" t="s">
        <v>929</v>
      </c>
      <c r="T53" s="19" t="s">
        <v>930</v>
      </c>
      <c r="U53" s="19" t="s">
        <v>931</v>
      </c>
      <c r="V53" s="21" t="s">
        <v>859</v>
      </c>
    </row>
    <row r="54" spans="1:22" ht="16.05" customHeight="1">
      <c r="A54" s="18" t="s">
        <v>846</v>
      </c>
      <c r="B54" s="19" t="s">
        <v>35</v>
      </c>
      <c r="C54" s="19">
        <v>8</v>
      </c>
      <c r="D54" s="19" t="s">
        <v>540</v>
      </c>
      <c r="E54" s="19" t="s">
        <v>541</v>
      </c>
      <c r="F54" s="20" t="s">
        <v>542</v>
      </c>
      <c r="G54" s="19">
        <v>12</v>
      </c>
      <c r="H54" s="19">
        <v>1</v>
      </c>
      <c r="I54" s="19">
        <v>7</v>
      </c>
      <c r="J54" s="19" t="s">
        <v>932</v>
      </c>
      <c r="K54" s="19" t="s">
        <v>933</v>
      </c>
      <c r="L54" s="19" t="s">
        <v>934</v>
      </c>
      <c r="M54" s="19" t="s">
        <v>935</v>
      </c>
      <c r="N54" s="19" t="s">
        <v>936</v>
      </c>
      <c r="O54" s="19" t="s">
        <v>937</v>
      </c>
      <c r="P54" s="19" t="s">
        <v>938</v>
      </c>
      <c r="Q54" s="19" t="s">
        <v>939</v>
      </c>
      <c r="R54" s="19" t="s">
        <v>940</v>
      </c>
      <c r="S54" s="19" t="s">
        <v>941</v>
      </c>
      <c r="T54" s="19" t="s">
        <v>942</v>
      </c>
      <c r="U54" s="19" t="s">
        <v>943</v>
      </c>
      <c r="V54" s="21" t="s">
        <v>859</v>
      </c>
    </row>
    <row r="55" spans="1:22" ht="16.05" customHeight="1">
      <c r="A55" s="18" t="s">
        <v>846</v>
      </c>
      <c r="B55" s="19" t="s">
        <v>35</v>
      </c>
      <c r="C55" s="19">
        <v>9</v>
      </c>
      <c r="D55" s="19" t="s">
        <v>582</v>
      </c>
      <c r="E55" s="19" t="s">
        <v>583</v>
      </c>
      <c r="F55" s="20" t="s">
        <v>584</v>
      </c>
      <c r="G55" s="19">
        <v>12</v>
      </c>
      <c r="H55" s="19">
        <v>1</v>
      </c>
      <c r="I55" s="19">
        <v>8</v>
      </c>
      <c r="J55" s="19" t="s">
        <v>944</v>
      </c>
      <c r="K55" s="19" t="s">
        <v>945</v>
      </c>
      <c r="L55" s="19" t="s">
        <v>946</v>
      </c>
      <c r="M55" s="19" t="s">
        <v>947</v>
      </c>
      <c r="N55" s="19" t="s">
        <v>948</v>
      </c>
      <c r="O55" s="19" t="s">
        <v>949</v>
      </c>
      <c r="P55" s="19" t="s">
        <v>950</v>
      </c>
      <c r="Q55" s="19" t="s">
        <v>951</v>
      </c>
      <c r="R55" s="19" t="s">
        <v>952</v>
      </c>
      <c r="S55" s="19" t="s">
        <v>953</v>
      </c>
      <c r="T55" s="19" t="s">
        <v>954</v>
      </c>
      <c r="U55" s="19" t="s">
        <v>955</v>
      </c>
      <c r="V55" s="21" t="s">
        <v>859</v>
      </c>
    </row>
    <row r="56" spans="1:22" ht="16.05" customHeight="1">
      <c r="A56" s="18" t="s">
        <v>846</v>
      </c>
      <c r="B56" s="19" t="s">
        <v>35</v>
      </c>
      <c r="C56" s="19">
        <v>10</v>
      </c>
      <c r="D56" s="19" t="s">
        <v>618</v>
      </c>
      <c r="E56" s="19" t="s">
        <v>619</v>
      </c>
      <c r="F56" s="20" t="s">
        <v>620</v>
      </c>
      <c r="G56" s="19">
        <v>12</v>
      </c>
      <c r="H56" s="19">
        <v>1</v>
      </c>
      <c r="I56" s="19">
        <v>9</v>
      </c>
      <c r="J56" s="19" t="s">
        <v>956</v>
      </c>
      <c r="K56" s="19" t="s">
        <v>957</v>
      </c>
      <c r="L56" s="19" t="s">
        <v>958</v>
      </c>
      <c r="M56" s="19" t="s">
        <v>959</v>
      </c>
      <c r="N56" s="19" t="s">
        <v>960</v>
      </c>
      <c r="O56" s="19" t="s">
        <v>961</v>
      </c>
      <c r="P56" s="19" t="s">
        <v>962</v>
      </c>
      <c r="Q56" s="19" t="s">
        <v>963</v>
      </c>
      <c r="R56" s="19" t="s">
        <v>964</v>
      </c>
      <c r="S56" s="19" t="s">
        <v>965</v>
      </c>
      <c r="T56" s="19" t="s">
        <v>966</v>
      </c>
      <c r="U56" s="19" t="s">
        <v>967</v>
      </c>
      <c r="V56" s="21" t="s">
        <v>859</v>
      </c>
    </row>
    <row r="57" spans="1:22" ht="16.05" customHeight="1">
      <c r="A57" s="18" t="s">
        <v>846</v>
      </c>
      <c r="B57" s="19" t="s">
        <v>35</v>
      </c>
      <c r="C57" s="19">
        <v>11</v>
      </c>
      <c r="D57" s="19" t="s">
        <v>648</v>
      </c>
      <c r="E57" s="19" t="s">
        <v>649</v>
      </c>
      <c r="F57" s="20" t="s">
        <v>650</v>
      </c>
      <c r="G57" s="19">
        <v>12</v>
      </c>
      <c r="H57" s="19">
        <v>1</v>
      </c>
      <c r="I57" s="19">
        <v>10</v>
      </c>
      <c r="J57" s="19" t="s">
        <v>968</v>
      </c>
      <c r="K57" s="19" t="s">
        <v>969</v>
      </c>
      <c r="L57" s="19" t="s">
        <v>970</v>
      </c>
      <c r="M57" s="19" t="s">
        <v>971</v>
      </c>
      <c r="N57" s="19" t="s">
        <v>972</v>
      </c>
      <c r="O57" s="19" t="s">
        <v>973</v>
      </c>
      <c r="P57" s="19" t="s">
        <v>974</v>
      </c>
      <c r="Q57" s="19" t="s">
        <v>975</v>
      </c>
      <c r="R57" s="19" t="s">
        <v>976</v>
      </c>
      <c r="S57" s="19" t="s">
        <v>977</v>
      </c>
      <c r="T57" s="19" t="s">
        <v>978</v>
      </c>
      <c r="U57" s="19" t="s">
        <v>979</v>
      </c>
      <c r="V57" s="21" t="s">
        <v>859</v>
      </c>
    </row>
    <row r="58" spans="1:22" ht="16.05" customHeight="1">
      <c r="A58" s="18" t="s">
        <v>846</v>
      </c>
      <c r="B58" s="19" t="s">
        <v>35</v>
      </c>
      <c r="C58" s="19">
        <v>12</v>
      </c>
      <c r="D58" s="19" t="s">
        <v>669</v>
      </c>
      <c r="E58" s="19" t="s">
        <v>670</v>
      </c>
      <c r="F58" s="20" t="s">
        <v>671</v>
      </c>
      <c r="G58" s="19">
        <v>12</v>
      </c>
      <c r="H58" s="19">
        <v>1</v>
      </c>
      <c r="I58" s="19">
        <v>11</v>
      </c>
      <c r="J58" s="19" t="s">
        <v>980</v>
      </c>
      <c r="K58" s="19" t="s">
        <v>981</v>
      </c>
      <c r="L58" s="19" t="s">
        <v>982</v>
      </c>
      <c r="M58" s="19" t="s">
        <v>983</v>
      </c>
      <c r="N58" s="19" t="s">
        <v>984</v>
      </c>
      <c r="O58" s="19" t="s">
        <v>985</v>
      </c>
      <c r="P58" s="19" t="s">
        <v>986</v>
      </c>
      <c r="Q58" s="19" t="s">
        <v>987</v>
      </c>
      <c r="R58" s="19" t="s">
        <v>988</v>
      </c>
      <c r="S58" s="19" t="s">
        <v>989</v>
      </c>
      <c r="T58" s="19" t="s">
        <v>990</v>
      </c>
      <c r="U58" s="19" t="s">
        <v>991</v>
      </c>
      <c r="V58" s="21" t="s">
        <v>859</v>
      </c>
    </row>
    <row r="59" spans="1:22" ht="16.05" customHeight="1">
      <c r="A59" s="18" t="s">
        <v>846</v>
      </c>
      <c r="B59" s="19" t="s">
        <v>35</v>
      </c>
      <c r="C59" s="19">
        <v>13</v>
      </c>
      <c r="D59" s="19" t="s">
        <v>687</v>
      </c>
      <c r="E59" s="19" t="s">
        <v>688</v>
      </c>
      <c r="F59" s="20" t="s">
        <v>689</v>
      </c>
      <c r="G59" s="19">
        <v>12</v>
      </c>
      <c r="H59" s="19">
        <v>1</v>
      </c>
      <c r="I59" s="19">
        <v>12</v>
      </c>
      <c r="J59" s="19" t="s">
        <v>992</v>
      </c>
      <c r="K59" s="19" t="s">
        <v>993</v>
      </c>
      <c r="L59" s="19" t="s">
        <v>994</v>
      </c>
      <c r="M59" s="19" t="s">
        <v>995</v>
      </c>
      <c r="N59" s="19" t="s">
        <v>996</v>
      </c>
      <c r="O59" s="19" t="s">
        <v>997</v>
      </c>
      <c r="P59" s="19" t="s">
        <v>998</v>
      </c>
      <c r="Q59" s="19" t="s">
        <v>999</v>
      </c>
      <c r="R59" s="19" t="s">
        <v>1000</v>
      </c>
      <c r="S59" s="19" t="s">
        <v>1001</v>
      </c>
      <c r="T59" s="19" t="s">
        <v>1002</v>
      </c>
      <c r="U59" s="19" t="s">
        <v>1003</v>
      </c>
      <c r="V59" s="21" t="s">
        <v>859</v>
      </c>
    </row>
    <row r="60" spans="1:22" ht="16.05" customHeight="1">
      <c r="A60" s="18" t="s">
        <v>846</v>
      </c>
      <c r="B60" s="19" t="s">
        <v>35</v>
      </c>
      <c r="C60" s="19">
        <v>14</v>
      </c>
      <c r="D60" s="19" t="s">
        <v>702</v>
      </c>
      <c r="E60" s="19" t="s">
        <v>703</v>
      </c>
      <c r="F60" s="20" t="s">
        <v>704</v>
      </c>
      <c r="G60" s="19">
        <v>12</v>
      </c>
      <c r="H60" s="19">
        <v>1</v>
      </c>
      <c r="I60" s="19">
        <v>13</v>
      </c>
      <c r="J60" s="19" t="s">
        <v>1004</v>
      </c>
      <c r="K60" s="19" t="s">
        <v>1005</v>
      </c>
      <c r="L60" s="19" t="s">
        <v>1006</v>
      </c>
      <c r="M60" s="19" t="s">
        <v>1007</v>
      </c>
      <c r="N60" s="19" t="s">
        <v>1008</v>
      </c>
      <c r="O60" s="19" t="s">
        <v>1009</v>
      </c>
      <c r="P60" s="19" t="s">
        <v>1010</v>
      </c>
      <c r="Q60" s="19" t="s">
        <v>1011</v>
      </c>
      <c r="R60" s="19" t="s">
        <v>1012</v>
      </c>
      <c r="S60" s="19" t="s">
        <v>1013</v>
      </c>
      <c r="T60" s="19" t="s">
        <v>1014</v>
      </c>
      <c r="U60" s="19" t="s">
        <v>1015</v>
      </c>
      <c r="V60" s="21" t="s">
        <v>859</v>
      </c>
    </row>
    <row r="61" spans="1:22" ht="16.05" customHeight="1">
      <c r="A61" s="18" t="s">
        <v>846</v>
      </c>
      <c r="B61" s="19" t="s">
        <v>35</v>
      </c>
      <c r="C61" s="19">
        <v>15</v>
      </c>
      <c r="D61" s="19" t="s">
        <v>714</v>
      </c>
      <c r="E61" s="19" t="s">
        <v>715</v>
      </c>
      <c r="F61" s="20" t="s">
        <v>716</v>
      </c>
      <c r="G61" s="19">
        <v>12</v>
      </c>
      <c r="H61" s="19">
        <v>1</v>
      </c>
      <c r="I61" s="19">
        <v>14</v>
      </c>
      <c r="J61" s="19" t="s">
        <v>1016</v>
      </c>
      <c r="K61" s="19" t="s">
        <v>1017</v>
      </c>
      <c r="L61" s="19" t="s">
        <v>1018</v>
      </c>
      <c r="M61" s="19" t="s">
        <v>1019</v>
      </c>
      <c r="N61" s="19" t="s">
        <v>1020</v>
      </c>
      <c r="O61" s="19" t="s">
        <v>1021</v>
      </c>
      <c r="P61" s="19" t="s">
        <v>1022</v>
      </c>
      <c r="Q61" s="19" t="s">
        <v>1023</v>
      </c>
      <c r="R61" s="19" t="s">
        <v>1024</v>
      </c>
      <c r="S61" s="19" t="s">
        <v>1025</v>
      </c>
      <c r="T61" s="19" t="s">
        <v>1026</v>
      </c>
      <c r="U61" s="19" t="s">
        <v>1027</v>
      </c>
      <c r="V61" s="21" t="s">
        <v>859</v>
      </c>
    </row>
    <row r="62" spans="1:22" ht="16.05" customHeight="1">
      <c r="A62" s="18" t="s">
        <v>846</v>
      </c>
      <c r="B62" s="19" t="s">
        <v>35</v>
      </c>
      <c r="C62" s="19">
        <v>16</v>
      </c>
      <c r="D62" s="19" t="s">
        <v>726</v>
      </c>
      <c r="E62" s="19" t="s">
        <v>727</v>
      </c>
      <c r="F62" s="20" t="s">
        <v>728</v>
      </c>
      <c r="G62" s="19">
        <v>12</v>
      </c>
      <c r="H62" s="19">
        <v>1</v>
      </c>
      <c r="I62" s="19">
        <v>15</v>
      </c>
      <c r="J62" s="19" t="s">
        <v>1028</v>
      </c>
      <c r="K62" s="19" t="s">
        <v>1029</v>
      </c>
      <c r="L62" s="19" t="s">
        <v>1030</v>
      </c>
      <c r="M62" s="19" t="s">
        <v>1031</v>
      </c>
      <c r="N62" s="19" t="s">
        <v>1032</v>
      </c>
      <c r="O62" s="19" t="s">
        <v>1033</v>
      </c>
      <c r="P62" s="19" t="s">
        <v>1034</v>
      </c>
      <c r="Q62" s="19" t="s">
        <v>1035</v>
      </c>
      <c r="R62" s="19" t="s">
        <v>1036</v>
      </c>
      <c r="S62" s="19" t="s">
        <v>1037</v>
      </c>
      <c r="T62" s="19" t="s">
        <v>1038</v>
      </c>
      <c r="U62" s="19" t="s">
        <v>1039</v>
      </c>
      <c r="V62" s="21" t="s">
        <v>859</v>
      </c>
    </row>
    <row r="63" spans="1:22" ht="16.05" customHeight="1">
      <c r="A63" s="18" t="s">
        <v>846</v>
      </c>
      <c r="B63" s="19" t="s">
        <v>35</v>
      </c>
      <c r="C63" s="19">
        <v>17</v>
      </c>
      <c r="D63" s="19" t="s">
        <v>735</v>
      </c>
      <c r="E63" s="19" t="s">
        <v>736</v>
      </c>
      <c r="F63" s="20" t="s">
        <v>737</v>
      </c>
      <c r="G63" s="19">
        <v>12</v>
      </c>
      <c r="H63" s="19">
        <v>1</v>
      </c>
      <c r="I63" s="19">
        <v>16</v>
      </c>
      <c r="J63" s="19" t="s">
        <v>1040</v>
      </c>
      <c r="K63" s="19" t="s">
        <v>1041</v>
      </c>
      <c r="L63" s="19" t="s">
        <v>1042</v>
      </c>
      <c r="M63" s="19" t="s">
        <v>1043</v>
      </c>
      <c r="N63" s="19" t="s">
        <v>1044</v>
      </c>
      <c r="O63" s="19" t="s">
        <v>1045</v>
      </c>
      <c r="P63" s="19" t="s">
        <v>1046</v>
      </c>
      <c r="Q63" s="19" t="s">
        <v>1047</v>
      </c>
      <c r="R63" s="19" t="s">
        <v>1048</v>
      </c>
      <c r="S63" s="19" t="s">
        <v>1049</v>
      </c>
      <c r="T63" s="19" t="s">
        <v>1050</v>
      </c>
      <c r="U63" s="19" t="s">
        <v>1051</v>
      </c>
      <c r="V63" s="21" t="s">
        <v>859</v>
      </c>
    </row>
    <row r="64" spans="1:22" ht="16.05" customHeight="1">
      <c r="A64" s="18" t="s">
        <v>846</v>
      </c>
      <c r="B64" s="19" t="s">
        <v>38</v>
      </c>
      <c r="C64" s="19">
        <v>1</v>
      </c>
      <c r="D64" s="19" t="s">
        <v>249</v>
      </c>
      <c r="E64" s="19" t="s">
        <v>250</v>
      </c>
      <c r="F64" s="20" t="s">
        <v>251</v>
      </c>
      <c r="G64" s="19">
        <v>12</v>
      </c>
      <c r="H64" s="19">
        <v>1</v>
      </c>
      <c r="I64" s="19">
        <v>0</v>
      </c>
      <c r="J64" s="19" t="s">
        <v>847</v>
      </c>
      <c r="K64" s="19" t="s">
        <v>848</v>
      </c>
      <c r="L64" s="19" t="s">
        <v>849</v>
      </c>
      <c r="M64" s="19" t="s">
        <v>850</v>
      </c>
      <c r="N64" s="19" t="s">
        <v>851</v>
      </c>
      <c r="O64" s="19" t="s">
        <v>852</v>
      </c>
      <c r="P64" s="19" t="s">
        <v>853</v>
      </c>
      <c r="Q64" s="19" t="s">
        <v>854</v>
      </c>
      <c r="R64" s="19" t="s">
        <v>855</v>
      </c>
      <c r="S64" s="19" t="s">
        <v>856</v>
      </c>
      <c r="T64" s="19" t="s">
        <v>857</v>
      </c>
      <c r="U64" s="19" t="s">
        <v>858</v>
      </c>
      <c r="V64" s="21" t="s">
        <v>859</v>
      </c>
    </row>
    <row r="65" spans="1:22" ht="16.05" customHeight="1">
      <c r="A65" s="18" t="s">
        <v>846</v>
      </c>
      <c r="B65" s="19" t="s">
        <v>38</v>
      </c>
      <c r="C65" s="19">
        <v>2</v>
      </c>
      <c r="D65" s="19" t="s">
        <v>291</v>
      </c>
      <c r="E65" s="19" t="s">
        <v>292</v>
      </c>
      <c r="F65" s="20" t="s">
        <v>293</v>
      </c>
      <c r="G65" s="19">
        <v>12</v>
      </c>
      <c r="H65" s="19">
        <v>1</v>
      </c>
      <c r="I65" s="19">
        <v>1</v>
      </c>
      <c r="J65" s="19" t="s">
        <v>860</v>
      </c>
      <c r="K65" s="19" t="s">
        <v>861</v>
      </c>
      <c r="L65" s="19" t="s">
        <v>862</v>
      </c>
      <c r="M65" s="19" t="s">
        <v>863</v>
      </c>
      <c r="N65" s="19" t="s">
        <v>864</v>
      </c>
      <c r="O65" s="19" t="s">
        <v>865</v>
      </c>
      <c r="P65" s="19" t="s">
        <v>866</v>
      </c>
      <c r="Q65" s="19" t="s">
        <v>867</v>
      </c>
      <c r="R65" s="19" t="s">
        <v>868</v>
      </c>
      <c r="S65" s="19" t="s">
        <v>869</v>
      </c>
      <c r="T65" s="19" t="s">
        <v>870</v>
      </c>
      <c r="U65" s="19" t="s">
        <v>871</v>
      </c>
      <c r="V65" s="21" t="s">
        <v>859</v>
      </c>
    </row>
    <row r="66" spans="1:22" ht="16.05" customHeight="1">
      <c r="A66" s="18" t="s">
        <v>846</v>
      </c>
      <c r="B66" s="19" t="s">
        <v>38</v>
      </c>
      <c r="C66" s="19">
        <v>3</v>
      </c>
      <c r="D66" s="19" t="s">
        <v>333</v>
      </c>
      <c r="E66" s="19" t="s">
        <v>334</v>
      </c>
      <c r="F66" s="20" t="s">
        <v>335</v>
      </c>
      <c r="G66" s="19">
        <v>12</v>
      </c>
      <c r="H66" s="19">
        <v>1</v>
      </c>
      <c r="I66" s="19">
        <v>2</v>
      </c>
      <c r="J66" s="19" t="s">
        <v>872</v>
      </c>
      <c r="K66" s="19" t="s">
        <v>873</v>
      </c>
      <c r="L66" s="19" t="s">
        <v>874</v>
      </c>
      <c r="M66" s="19" t="s">
        <v>875</v>
      </c>
      <c r="N66" s="19" t="s">
        <v>876</v>
      </c>
      <c r="O66" s="19" t="s">
        <v>877</v>
      </c>
      <c r="P66" s="19" t="s">
        <v>878</v>
      </c>
      <c r="Q66" s="19" t="s">
        <v>879</v>
      </c>
      <c r="R66" s="19" t="s">
        <v>880</v>
      </c>
      <c r="S66" s="19" t="s">
        <v>881</v>
      </c>
      <c r="T66" s="19" t="s">
        <v>882</v>
      </c>
      <c r="U66" s="19" t="s">
        <v>883</v>
      </c>
      <c r="V66" s="21" t="s">
        <v>859</v>
      </c>
    </row>
    <row r="67" spans="1:22" ht="16.05" customHeight="1">
      <c r="A67" s="18" t="s">
        <v>846</v>
      </c>
      <c r="B67" s="19" t="s">
        <v>38</v>
      </c>
      <c r="C67" s="19">
        <v>4</v>
      </c>
      <c r="D67" s="19" t="s">
        <v>375</v>
      </c>
      <c r="E67" s="19" t="s">
        <v>376</v>
      </c>
      <c r="F67" s="20" t="s">
        <v>377</v>
      </c>
      <c r="G67" s="19">
        <v>12</v>
      </c>
      <c r="H67" s="19">
        <v>1</v>
      </c>
      <c r="I67" s="19">
        <v>3</v>
      </c>
      <c r="J67" s="19" t="s">
        <v>884</v>
      </c>
      <c r="K67" s="19" t="s">
        <v>885</v>
      </c>
      <c r="L67" s="19" t="s">
        <v>886</v>
      </c>
      <c r="M67" s="19" t="s">
        <v>887</v>
      </c>
      <c r="N67" s="19" t="s">
        <v>888</v>
      </c>
      <c r="O67" s="19" t="s">
        <v>889</v>
      </c>
      <c r="P67" s="19" t="s">
        <v>890</v>
      </c>
      <c r="Q67" s="19" t="s">
        <v>891</v>
      </c>
      <c r="R67" s="19" t="s">
        <v>892</v>
      </c>
      <c r="S67" s="19" t="s">
        <v>893</v>
      </c>
      <c r="T67" s="19" t="s">
        <v>894</v>
      </c>
      <c r="U67" s="19" t="s">
        <v>895</v>
      </c>
      <c r="V67" s="21" t="s">
        <v>859</v>
      </c>
    </row>
    <row r="68" spans="1:22" ht="16.05" customHeight="1">
      <c r="A68" s="18" t="s">
        <v>846</v>
      </c>
      <c r="B68" s="19" t="s">
        <v>38</v>
      </c>
      <c r="C68" s="19">
        <v>5</v>
      </c>
      <c r="D68" s="19" t="s">
        <v>417</v>
      </c>
      <c r="E68" s="19" t="s">
        <v>418</v>
      </c>
      <c r="F68" s="20" t="s">
        <v>419</v>
      </c>
      <c r="G68" s="19">
        <v>12</v>
      </c>
      <c r="H68" s="19">
        <v>1</v>
      </c>
      <c r="I68" s="19">
        <v>4</v>
      </c>
      <c r="J68" s="19" t="s">
        <v>896</v>
      </c>
      <c r="K68" s="19" t="s">
        <v>897</v>
      </c>
      <c r="L68" s="19" t="s">
        <v>898</v>
      </c>
      <c r="M68" s="19" t="s">
        <v>899</v>
      </c>
      <c r="N68" s="19" t="s">
        <v>900</v>
      </c>
      <c r="O68" s="19" t="s">
        <v>901</v>
      </c>
      <c r="P68" s="19" t="s">
        <v>902</v>
      </c>
      <c r="Q68" s="19" t="s">
        <v>903</v>
      </c>
      <c r="R68" s="19" t="s">
        <v>904</v>
      </c>
      <c r="S68" s="19" t="s">
        <v>905</v>
      </c>
      <c r="T68" s="19" t="s">
        <v>906</v>
      </c>
      <c r="U68" s="19" t="s">
        <v>907</v>
      </c>
      <c r="V68" s="21" t="s">
        <v>859</v>
      </c>
    </row>
    <row r="69" spans="1:22" ht="16.05" customHeight="1">
      <c r="A69" s="18" t="s">
        <v>846</v>
      </c>
      <c r="B69" s="19" t="s">
        <v>38</v>
      </c>
      <c r="C69" s="19">
        <v>6</v>
      </c>
      <c r="D69" s="19" t="s">
        <v>459</v>
      </c>
      <c r="E69" s="19" t="s">
        <v>460</v>
      </c>
      <c r="F69" s="20" t="s">
        <v>461</v>
      </c>
      <c r="G69" s="19">
        <v>12</v>
      </c>
      <c r="H69" s="19">
        <v>1</v>
      </c>
      <c r="I69" s="19">
        <v>5</v>
      </c>
      <c r="J69" s="19" t="s">
        <v>908</v>
      </c>
      <c r="K69" s="19" t="s">
        <v>909</v>
      </c>
      <c r="L69" s="19" t="s">
        <v>910</v>
      </c>
      <c r="M69" s="19" t="s">
        <v>911</v>
      </c>
      <c r="N69" s="19" t="s">
        <v>912</v>
      </c>
      <c r="O69" s="19" t="s">
        <v>913</v>
      </c>
      <c r="P69" s="19" t="s">
        <v>914</v>
      </c>
      <c r="Q69" s="19" t="s">
        <v>915</v>
      </c>
      <c r="R69" s="19" t="s">
        <v>916</v>
      </c>
      <c r="S69" s="19" t="s">
        <v>917</v>
      </c>
      <c r="T69" s="19" t="s">
        <v>918</v>
      </c>
      <c r="U69" s="19" t="s">
        <v>919</v>
      </c>
      <c r="V69" s="21" t="s">
        <v>859</v>
      </c>
    </row>
    <row r="70" spans="1:22" ht="16.05" customHeight="1">
      <c r="A70" s="18" t="s">
        <v>846</v>
      </c>
      <c r="B70" s="19" t="s">
        <v>38</v>
      </c>
      <c r="C70" s="19">
        <v>7</v>
      </c>
      <c r="D70" s="19" t="s">
        <v>501</v>
      </c>
      <c r="E70" s="19" t="s">
        <v>502</v>
      </c>
      <c r="F70" s="20" t="s">
        <v>503</v>
      </c>
      <c r="G70" s="19">
        <v>12</v>
      </c>
      <c r="H70" s="19">
        <v>1</v>
      </c>
      <c r="I70" s="19">
        <v>6</v>
      </c>
      <c r="J70" s="19" t="s">
        <v>920</v>
      </c>
      <c r="K70" s="19" t="s">
        <v>921</v>
      </c>
      <c r="L70" s="19" t="s">
        <v>922</v>
      </c>
      <c r="M70" s="19" t="s">
        <v>923</v>
      </c>
      <c r="N70" s="19" t="s">
        <v>924</v>
      </c>
      <c r="O70" s="19" t="s">
        <v>925</v>
      </c>
      <c r="P70" s="19" t="s">
        <v>926</v>
      </c>
      <c r="Q70" s="19" t="s">
        <v>927</v>
      </c>
      <c r="R70" s="19" t="s">
        <v>928</v>
      </c>
      <c r="S70" s="19" t="s">
        <v>929</v>
      </c>
      <c r="T70" s="19" t="s">
        <v>930</v>
      </c>
      <c r="U70" s="19" t="s">
        <v>931</v>
      </c>
      <c r="V70" s="21" t="s">
        <v>859</v>
      </c>
    </row>
    <row r="71" spans="1:22" ht="16.05" customHeight="1">
      <c r="A71" s="18" t="s">
        <v>846</v>
      </c>
      <c r="B71" s="19" t="s">
        <v>38</v>
      </c>
      <c r="C71" s="19">
        <v>8</v>
      </c>
      <c r="D71" s="19" t="s">
        <v>543</v>
      </c>
      <c r="E71" s="19" t="s">
        <v>544</v>
      </c>
      <c r="F71" s="20" t="s">
        <v>545</v>
      </c>
      <c r="G71" s="19">
        <v>12</v>
      </c>
      <c r="H71" s="19">
        <v>1</v>
      </c>
      <c r="I71" s="19">
        <v>7</v>
      </c>
      <c r="J71" s="19" t="s">
        <v>932</v>
      </c>
      <c r="K71" s="19" t="s">
        <v>933</v>
      </c>
      <c r="L71" s="19" t="s">
        <v>934</v>
      </c>
      <c r="M71" s="19" t="s">
        <v>935</v>
      </c>
      <c r="N71" s="19" t="s">
        <v>936</v>
      </c>
      <c r="O71" s="19" t="s">
        <v>937</v>
      </c>
      <c r="P71" s="19" t="s">
        <v>938</v>
      </c>
      <c r="Q71" s="19" t="s">
        <v>939</v>
      </c>
      <c r="R71" s="19" t="s">
        <v>940</v>
      </c>
      <c r="S71" s="19" t="s">
        <v>941</v>
      </c>
      <c r="T71" s="19" t="s">
        <v>942</v>
      </c>
      <c r="U71" s="19" t="s">
        <v>943</v>
      </c>
      <c r="V71" s="21" t="s">
        <v>859</v>
      </c>
    </row>
    <row r="72" spans="1:22" ht="16.05" customHeight="1">
      <c r="A72" s="18" t="s">
        <v>846</v>
      </c>
      <c r="B72" s="19" t="s">
        <v>38</v>
      </c>
      <c r="C72" s="19">
        <v>9</v>
      </c>
      <c r="D72" s="19" t="s">
        <v>585</v>
      </c>
      <c r="E72" s="19" t="s">
        <v>586</v>
      </c>
      <c r="F72" s="20" t="s">
        <v>587</v>
      </c>
      <c r="G72" s="19">
        <v>12</v>
      </c>
      <c r="H72" s="19">
        <v>1</v>
      </c>
      <c r="I72" s="19">
        <v>8</v>
      </c>
      <c r="J72" s="19" t="s">
        <v>944</v>
      </c>
      <c r="K72" s="19" t="s">
        <v>945</v>
      </c>
      <c r="L72" s="19" t="s">
        <v>946</v>
      </c>
      <c r="M72" s="19" t="s">
        <v>947</v>
      </c>
      <c r="N72" s="19" t="s">
        <v>948</v>
      </c>
      <c r="O72" s="19" t="s">
        <v>949</v>
      </c>
      <c r="P72" s="19" t="s">
        <v>950</v>
      </c>
      <c r="Q72" s="19" t="s">
        <v>951</v>
      </c>
      <c r="R72" s="19" t="s">
        <v>952</v>
      </c>
      <c r="S72" s="19" t="s">
        <v>953</v>
      </c>
      <c r="T72" s="19" t="s">
        <v>954</v>
      </c>
      <c r="U72" s="19" t="s">
        <v>955</v>
      </c>
      <c r="V72" s="21" t="s">
        <v>859</v>
      </c>
    </row>
    <row r="73" spans="1:22" ht="16.05" customHeight="1">
      <c r="A73" s="18" t="s">
        <v>846</v>
      </c>
      <c r="B73" s="19" t="s">
        <v>38</v>
      </c>
      <c r="C73" s="19">
        <v>10</v>
      </c>
      <c r="D73" s="19" t="s">
        <v>621</v>
      </c>
      <c r="E73" s="19" t="s">
        <v>622</v>
      </c>
      <c r="F73" s="20" t="s">
        <v>623</v>
      </c>
      <c r="G73" s="19">
        <v>12</v>
      </c>
      <c r="H73" s="19">
        <v>1</v>
      </c>
      <c r="I73" s="19">
        <v>9</v>
      </c>
      <c r="J73" s="19" t="s">
        <v>956</v>
      </c>
      <c r="K73" s="19" t="s">
        <v>957</v>
      </c>
      <c r="L73" s="19" t="s">
        <v>958</v>
      </c>
      <c r="M73" s="19" t="s">
        <v>959</v>
      </c>
      <c r="N73" s="19" t="s">
        <v>960</v>
      </c>
      <c r="O73" s="19" t="s">
        <v>961</v>
      </c>
      <c r="P73" s="19" t="s">
        <v>962</v>
      </c>
      <c r="Q73" s="19" t="s">
        <v>963</v>
      </c>
      <c r="R73" s="19" t="s">
        <v>964</v>
      </c>
      <c r="S73" s="19" t="s">
        <v>965</v>
      </c>
      <c r="T73" s="19" t="s">
        <v>966</v>
      </c>
      <c r="U73" s="19" t="s">
        <v>967</v>
      </c>
      <c r="V73" s="21" t="s">
        <v>859</v>
      </c>
    </row>
    <row r="74" spans="1:22" ht="16.05" customHeight="1">
      <c r="A74" s="18" t="s">
        <v>846</v>
      </c>
      <c r="B74" s="19" t="s">
        <v>38</v>
      </c>
      <c r="C74" s="19">
        <v>11</v>
      </c>
      <c r="D74" s="19" t="s">
        <v>651</v>
      </c>
      <c r="E74" s="19" t="s">
        <v>652</v>
      </c>
      <c r="F74" s="20" t="s">
        <v>653</v>
      </c>
      <c r="G74" s="19">
        <v>12</v>
      </c>
      <c r="H74" s="19">
        <v>1</v>
      </c>
      <c r="I74" s="19">
        <v>10</v>
      </c>
      <c r="J74" s="19" t="s">
        <v>968</v>
      </c>
      <c r="K74" s="19" t="s">
        <v>969</v>
      </c>
      <c r="L74" s="19" t="s">
        <v>970</v>
      </c>
      <c r="M74" s="19" t="s">
        <v>971</v>
      </c>
      <c r="N74" s="19" t="s">
        <v>972</v>
      </c>
      <c r="O74" s="19" t="s">
        <v>973</v>
      </c>
      <c r="P74" s="19" t="s">
        <v>974</v>
      </c>
      <c r="Q74" s="19" t="s">
        <v>975</v>
      </c>
      <c r="R74" s="19" t="s">
        <v>976</v>
      </c>
      <c r="S74" s="19" t="s">
        <v>977</v>
      </c>
      <c r="T74" s="19" t="s">
        <v>978</v>
      </c>
      <c r="U74" s="19" t="s">
        <v>979</v>
      </c>
      <c r="V74" s="21" t="s">
        <v>859</v>
      </c>
    </row>
    <row r="75" spans="1:22" ht="16.05" customHeight="1">
      <c r="A75" s="18" t="s">
        <v>846</v>
      </c>
      <c r="B75" s="19" t="s">
        <v>38</v>
      </c>
      <c r="C75" s="19">
        <v>12</v>
      </c>
      <c r="D75" s="19" t="s">
        <v>672</v>
      </c>
      <c r="E75" s="19" t="s">
        <v>673</v>
      </c>
      <c r="F75" s="20" t="s">
        <v>674</v>
      </c>
      <c r="G75" s="19">
        <v>12</v>
      </c>
      <c r="H75" s="19">
        <v>1</v>
      </c>
      <c r="I75" s="19">
        <v>11</v>
      </c>
      <c r="J75" s="19" t="s">
        <v>980</v>
      </c>
      <c r="K75" s="19" t="s">
        <v>981</v>
      </c>
      <c r="L75" s="19" t="s">
        <v>982</v>
      </c>
      <c r="M75" s="19" t="s">
        <v>983</v>
      </c>
      <c r="N75" s="19" t="s">
        <v>984</v>
      </c>
      <c r="O75" s="19" t="s">
        <v>985</v>
      </c>
      <c r="P75" s="19" t="s">
        <v>986</v>
      </c>
      <c r="Q75" s="19" t="s">
        <v>987</v>
      </c>
      <c r="R75" s="19" t="s">
        <v>988</v>
      </c>
      <c r="S75" s="19" t="s">
        <v>989</v>
      </c>
      <c r="T75" s="19" t="s">
        <v>990</v>
      </c>
      <c r="U75" s="19" t="s">
        <v>991</v>
      </c>
      <c r="V75" s="21" t="s">
        <v>859</v>
      </c>
    </row>
    <row r="76" spans="1:22" ht="16.05" customHeight="1">
      <c r="A76" s="18" t="s">
        <v>846</v>
      </c>
      <c r="B76" s="19" t="s">
        <v>38</v>
      </c>
      <c r="C76" s="19">
        <v>13</v>
      </c>
      <c r="D76" s="19" t="s">
        <v>690</v>
      </c>
      <c r="E76" s="19" t="s">
        <v>691</v>
      </c>
      <c r="F76" s="20" t="s">
        <v>692</v>
      </c>
      <c r="G76" s="19">
        <v>12</v>
      </c>
      <c r="H76" s="19">
        <v>1</v>
      </c>
      <c r="I76" s="19">
        <v>12</v>
      </c>
      <c r="J76" s="19" t="s">
        <v>992</v>
      </c>
      <c r="K76" s="19" t="s">
        <v>993</v>
      </c>
      <c r="L76" s="19" t="s">
        <v>994</v>
      </c>
      <c r="M76" s="19" t="s">
        <v>995</v>
      </c>
      <c r="N76" s="19" t="s">
        <v>996</v>
      </c>
      <c r="O76" s="19" t="s">
        <v>997</v>
      </c>
      <c r="P76" s="19" t="s">
        <v>998</v>
      </c>
      <c r="Q76" s="19" t="s">
        <v>999</v>
      </c>
      <c r="R76" s="19" t="s">
        <v>1000</v>
      </c>
      <c r="S76" s="19" t="s">
        <v>1001</v>
      </c>
      <c r="T76" s="19" t="s">
        <v>1002</v>
      </c>
      <c r="U76" s="19" t="s">
        <v>1003</v>
      </c>
      <c r="V76" s="21" t="s">
        <v>859</v>
      </c>
    </row>
    <row r="77" spans="1:22" ht="16.05" customHeight="1">
      <c r="A77" s="18" t="s">
        <v>846</v>
      </c>
      <c r="B77" s="19" t="s">
        <v>38</v>
      </c>
      <c r="C77" s="19">
        <v>14</v>
      </c>
      <c r="D77" s="19" t="s">
        <v>705</v>
      </c>
      <c r="E77" s="19" t="s">
        <v>706</v>
      </c>
      <c r="F77" s="20" t="s">
        <v>707</v>
      </c>
      <c r="G77" s="19">
        <v>12</v>
      </c>
      <c r="H77" s="19">
        <v>1</v>
      </c>
      <c r="I77" s="19">
        <v>13</v>
      </c>
      <c r="J77" s="19" t="s">
        <v>1004</v>
      </c>
      <c r="K77" s="19" t="s">
        <v>1005</v>
      </c>
      <c r="L77" s="19" t="s">
        <v>1006</v>
      </c>
      <c r="M77" s="19" t="s">
        <v>1007</v>
      </c>
      <c r="N77" s="19" t="s">
        <v>1008</v>
      </c>
      <c r="O77" s="19" t="s">
        <v>1009</v>
      </c>
      <c r="P77" s="19" t="s">
        <v>1010</v>
      </c>
      <c r="Q77" s="19" t="s">
        <v>1011</v>
      </c>
      <c r="R77" s="19" t="s">
        <v>1012</v>
      </c>
      <c r="S77" s="19" t="s">
        <v>1013</v>
      </c>
      <c r="T77" s="19" t="s">
        <v>1014</v>
      </c>
      <c r="U77" s="19" t="s">
        <v>1015</v>
      </c>
      <c r="V77" s="21" t="s">
        <v>859</v>
      </c>
    </row>
    <row r="78" spans="1:22" ht="16.05" customHeight="1">
      <c r="A78" s="18" t="s">
        <v>846</v>
      </c>
      <c r="B78" s="19" t="s">
        <v>38</v>
      </c>
      <c r="C78" s="19">
        <v>15</v>
      </c>
      <c r="D78" s="19" t="s">
        <v>717</v>
      </c>
      <c r="E78" s="19" t="s">
        <v>718</v>
      </c>
      <c r="F78" s="20" t="s">
        <v>719</v>
      </c>
      <c r="G78" s="19">
        <v>12</v>
      </c>
      <c r="H78" s="19">
        <v>1</v>
      </c>
      <c r="I78" s="19">
        <v>14</v>
      </c>
      <c r="J78" s="19" t="s">
        <v>1016</v>
      </c>
      <c r="K78" s="19" t="s">
        <v>1017</v>
      </c>
      <c r="L78" s="19" t="s">
        <v>1018</v>
      </c>
      <c r="M78" s="19" t="s">
        <v>1019</v>
      </c>
      <c r="N78" s="19" t="s">
        <v>1020</v>
      </c>
      <c r="O78" s="19" t="s">
        <v>1021</v>
      </c>
      <c r="P78" s="19" t="s">
        <v>1022</v>
      </c>
      <c r="Q78" s="19" t="s">
        <v>1023</v>
      </c>
      <c r="R78" s="19" t="s">
        <v>1024</v>
      </c>
      <c r="S78" s="19" t="s">
        <v>1025</v>
      </c>
      <c r="T78" s="19" t="s">
        <v>1026</v>
      </c>
      <c r="U78" s="19" t="s">
        <v>1027</v>
      </c>
      <c r="V78" s="21" t="s">
        <v>859</v>
      </c>
    </row>
    <row r="79" spans="1:22" ht="16.05" customHeight="1">
      <c r="A79" s="18" t="s">
        <v>846</v>
      </c>
      <c r="B79" s="19" t="s">
        <v>38</v>
      </c>
      <c r="C79" s="19">
        <v>16</v>
      </c>
      <c r="D79" s="19" t="s">
        <v>729</v>
      </c>
      <c r="E79" s="19" t="s">
        <v>730</v>
      </c>
      <c r="F79" s="20" t="s">
        <v>731</v>
      </c>
      <c r="G79" s="19">
        <v>12</v>
      </c>
      <c r="H79" s="19">
        <v>1</v>
      </c>
      <c r="I79" s="19">
        <v>15</v>
      </c>
      <c r="J79" s="19" t="s">
        <v>1028</v>
      </c>
      <c r="K79" s="19" t="s">
        <v>1029</v>
      </c>
      <c r="L79" s="19" t="s">
        <v>1030</v>
      </c>
      <c r="M79" s="19" t="s">
        <v>1031</v>
      </c>
      <c r="N79" s="19" t="s">
        <v>1032</v>
      </c>
      <c r="O79" s="19" t="s">
        <v>1033</v>
      </c>
      <c r="P79" s="19" t="s">
        <v>1034</v>
      </c>
      <c r="Q79" s="19" t="s">
        <v>1035</v>
      </c>
      <c r="R79" s="19" t="s">
        <v>1036</v>
      </c>
      <c r="S79" s="19" t="s">
        <v>1037</v>
      </c>
      <c r="T79" s="19" t="s">
        <v>1038</v>
      </c>
      <c r="U79" s="19" t="s">
        <v>1039</v>
      </c>
      <c r="V79" s="21" t="s">
        <v>859</v>
      </c>
    </row>
    <row r="80" spans="1:22" ht="16.05" customHeight="1">
      <c r="A80" s="18" t="s">
        <v>846</v>
      </c>
      <c r="B80" s="19" t="s">
        <v>39</v>
      </c>
      <c r="C80" s="19">
        <v>1</v>
      </c>
      <c r="D80" s="19" t="s">
        <v>252</v>
      </c>
      <c r="E80" s="19" t="s">
        <v>253</v>
      </c>
      <c r="F80" s="20" t="s">
        <v>254</v>
      </c>
      <c r="G80" s="19">
        <v>12</v>
      </c>
      <c r="H80" s="19">
        <v>1</v>
      </c>
      <c r="I80" s="19">
        <v>0</v>
      </c>
      <c r="J80" s="19" t="s">
        <v>847</v>
      </c>
      <c r="K80" s="19" t="s">
        <v>848</v>
      </c>
      <c r="L80" s="19" t="s">
        <v>849</v>
      </c>
      <c r="M80" s="19" t="s">
        <v>850</v>
      </c>
      <c r="N80" s="19" t="s">
        <v>851</v>
      </c>
      <c r="O80" s="19" t="s">
        <v>852</v>
      </c>
      <c r="P80" s="19" t="s">
        <v>853</v>
      </c>
      <c r="Q80" s="19" t="s">
        <v>854</v>
      </c>
      <c r="R80" s="19" t="s">
        <v>855</v>
      </c>
      <c r="S80" s="19" t="s">
        <v>856</v>
      </c>
      <c r="T80" s="19" t="s">
        <v>857</v>
      </c>
      <c r="U80" s="19" t="s">
        <v>858</v>
      </c>
      <c r="V80" s="21" t="s">
        <v>859</v>
      </c>
    </row>
    <row r="81" spans="1:22" ht="16.05" customHeight="1">
      <c r="A81" s="18" t="s">
        <v>846</v>
      </c>
      <c r="B81" s="19" t="s">
        <v>39</v>
      </c>
      <c r="C81" s="19">
        <v>2</v>
      </c>
      <c r="D81" s="19" t="s">
        <v>294</v>
      </c>
      <c r="E81" s="19" t="s">
        <v>295</v>
      </c>
      <c r="F81" s="20" t="s">
        <v>296</v>
      </c>
      <c r="G81" s="19">
        <v>12</v>
      </c>
      <c r="H81" s="19">
        <v>1</v>
      </c>
      <c r="I81" s="19">
        <v>1</v>
      </c>
      <c r="J81" s="19" t="s">
        <v>860</v>
      </c>
      <c r="K81" s="19" t="s">
        <v>861</v>
      </c>
      <c r="L81" s="19" t="s">
        <v>862</v>
      </c>
      <c r="M81" s="19" t="s">
        <v>863</v>
      </c>
      <c r="N81" s="19" t="s">
        <v>864</v>
      </c>
      <c r="O81" s="19" t="s">
        <v>865</v>
      </c>
      <c r="P81" s="19" t="s">
        <v>866</v>
      </c>
      <c r="Q81" s="19" t="s">
        <v>867</v>
      </c>
      <c r="R81" s="19" t="s">
        <v>868</v>
      </c>
      <c r="S81" s="19" t="s">
        <v>869</v>
      </c>
      <c r="T81" s="19" t="s">
        <v>870</v>
      </c>
      <c r="U81" s="19" t="s">
        <v>871</v>
      </c>
      <c r="V81" s="21" t="s">
        <v>859</v>
      </c>
    </row>
    <row r="82" spans="1:22" ht="16.05" customHeight="1">
      <c r="A82" s="18" t="s">
        <v>846</v>
      </c>
      <c r="B82" s="19" t="s">
        <v>39</v>
      </c>
      <c r="C82" s="19">
        <v>3</v>
      </c>
      <c r="D82" s="19" t="s">
        <v>336</v>
      </c>
      <c r="E82" s="19" t="s">
        <v>337</v>
      </c>
      <c r="F82" s="20" t="s">
        <v>338</v>
      </c>
      <c r="G82" s="19">
        <v>12</v>
      </c>
      <c r="H82" s="19">
        <v>1</v>
      </c>
      <c r="I82" s="19">
        <v>2</v>
      </c>
      <c r="J82" s="19" t="s">
        <v>872</v>
      </c>
      <c r="K82" s="19" t="s">
        <v>873</v>
      </c>
      <c r="L82" s="19" t="s">
        <v>874</v>
      </c>
      <c r="M82" s="19" t="s">
        <v>875</v>
      </c>
      <c r="N82" s="19" t="s">
        <v>876</v>
      </c>
      <c r="O82" s="19" t="s">
        <v>877</v>
      </c>
      <c r="P82" s="19" t="s">
        <v>878</v>
      </c>
      <c r="Q82" s="19" t="s">
        <v>879</v>
      </c>
      <c r="R82" s="19" t="s">
        <v>880</v>
      </c>
      <c r="S82" s="19" t="s">
        <v>881</v>
      </c>
      <c r="T82" s="19" t="s">
        <v>882</v>
      </c>
      <c r="U82" s="19" t="s">
        <v>883</v>
      </c>
      <c r="V82" s="21" t="s">
        <v>859</v>
      </c>
    </row>
    <row r="83" spans="1:22" ht="16.05" customHeight="1">
      <c r="A83" s="18" t="s">
        <v>846</v>
      </c>
      <c r="B83" s="19" t="s">
        <v>39</v>
      </c>
      <c r="C83" s="19">
        <v>4</v>
      </c>
      <c r="D83" s="19" t="s">
        <v>378</v>
      </c>
      <c r="E83" s="19" t="s">
        <v>379</v>
      </c>
      <c r="F83" s="20" t="s">
        <v>380</v>
      </c>
      <c r="G83" s="19">
        <v>12</v>
      </c>
      <c r="H83" s="19">
        <v>1</v>
      </c>
      <c r="I83" s="19">
        <v>3</v>
      </c>
      <c r="J83" s="19" t="s">
        <v>884</v>
      </c>
      <c r="K83" s="19" t="s">
        <v>885</v>
      </c>
      <c r="L83" s="19" t="s">
        <v>886</v>
      </c>
      <c r="M83" s="19" t="s">
        <v>887</v>
      </c>
      <c r="N83" s="19" t="s">
        <v>888</v>
      </c>
      <c r="O83" s="19" t="s">
        <v>889</v>
      </c>
      <c r="P83" s="19" t="s">
        <v>890</v>
      </c>
      <c r="Q83" s="19" t="s">
        <v>891</v>
      </c>
      <c r="R83" s="19" t="s">
        <v>892</v>
      </c>
      <c r="S83" s="19" t="s">
        <v>893</v>
      </c>
      <c r="T83" s="19" t="s">
        <v>894</v>
      </c>
      <c r="U83" s="19" t="s">
        <v>895</v>
      </c>
      <c r="V83" s="21" t="s">
        <v>859</v>
      </c>
    </row>
    <row r="84" spans="1:22" ht="16.05" customHeight="1">
      <c r="A84" s="18" t="s">
        <v>846</v>
      </c>
      <c r="B84" s="19" t="s">
        <v>39</v>
      </c>
      <c r="C84" s="19">
        <v>5</v>
      </c>
      <c r="D84" s="19" t="s">
        <v>420</v>
      </c>
      <c r="E84" s="19" t="s">
        <v>421</v>
      </c>
      <c r="F84" s="20" t="s">
        <v>422</v>
      </c>
      <c r="G84" s="19">
        <v>12</v>
      </c>
      <c r="H84" s="19">
        <v>1</v>
      </c>
      <c r="I84" s="19">
        <v>4</v>
      </c>
      <c r="J84" s="19" t="s">
        <v>896</v>
      </c>
      <c r="K84" s="19" t="s">
        <v>897</v>
      </c>
      <c r="L84" s="19" t="s">
        <v>898</v>
      </c>
      <c r="M84" s="19" t="s">
        <v>899</v>
      </c>
      <c r="N84" s="19" t="s">
        <v>900</v>
      </c>
      <c r="O84" s="19" t="s">
        <v>901</v>
      </c>
      <c r="P84" s="19" t="s">
        <v>902</v>
      </c>
      <c r="Q84" s="19" t="s">
        <v>903</v>
      </c>
      <c r="R84" s="19" t="s">
        <v>904</v>
      </c>
      <c r="S84" s="19" t="s">
        <v>905</v>
      </c>
      <c r="T84" s="19" t="s">
        <v>906</v>
      </c>
      <c r="U84" s="19" t="s">
        <v>907</v>
      </c>
      <c r="V84" s="21" t="s">
        <v>859</v>
      </c>
    </row>
    <row r="85" spans="1:22" ht="16.05" customHeight="1">
      <c r="A85" s="18" t="s">
        <v>846</v>
      </c>
      <c r="B85" s="19" t="s">
        <v>39</v>
      </c>
      <c r="C85" s="19">
        <v>6</v>
      </c>
      <c r="D85" s="19" t="s">
        <v>462</v>
      </c>
      <c r="E85" s="19" t="s">
        <v>463</v>
      </c>
      <c r="F85" s="20" t="s">
        <v>464</v>
      </c>
      <c r="G85" s="19">
        <v>12</v>
      </c>
      <c r="H85" s="19">
        <v>1</v>
      </c>
      <c r="I85" s="19">
        <v>5</v>
      </c>
      <c r="J85" s="19" t="s">
        <v>908</v>
      </c>
      <c r="K85" s="19" t="s">
        <v>909</v>
      </c>
      <c r="L85" s="19" t="s">
        <v>910</v>
      </c>
      <c r="M85" s="19" t="s">
        <v>911</v>
      </c>
      <c r="N85" s="19" t="s">
        <v>912</v>
      </c>
      <c r="O85" s="19" t="s">
        <v>913</v>
      </c>
      <c r="P85" s="19" t="s">
        <v>914</v>
      </c>
      <c r="Q85" s="19" t="s">
        <v>915</v>
      </c>
      <c r="R85" s="19" t="s">
        <v>916</v>
      </c>
      <c r="S85" s="19" t="s">
        <v>917</v>
      </c>
      <c r="T85" s="19" t="s">
        <v>918</v>
      </c>
      <c r="U85" s="19" t="s">
        <v>919</v>
      </c>
      <c r="V85" s="21" t="s">
        <v>859</v>
      </c>
    </row>
    <row r="86" spans="1:22" ht="16.05" customHeight="1">
      <c r="A86" s="18" t="s">
        <v>846</v>
      </c>
      <c r="B86" s="19" t="s">
        <v>39</v>
      </c>
      <c r="C86" s="19">
        <v>7</v>
      </c>
      <c r="D86" s="19" t="s">
        <v>504</v>
      </c>
      <c r="E86" s="19" t="s">
        <v>505</v>
      </c>
      <c r="F86" s="20" t="s">
        <v>506</v>
      </c>
      <c r="G86" s="19">
        <v>12</v>
      </c>
      <c r="H86" s="19">
        <v>1</v>
      </c>
      <c r="I86" s="19">
        <v>6</v>
      </c>
      <c r="J86" s="19" t="s">
        <v>920</v>
      </c>
      <c r="K86" s="19" t="s">
        <v>921</v>
      </c>
      <c r="L86" s="19" t="s">
        <v>922</v>
      </c>
      <c r="M86" s="19" t="s">
        <v>923</v>
      </c>
      <c r="N86" s="19" t="s">
        <v>924</v>
      </c>
      <c r="O86" s="19" t="s">
        <v>925</v>
      </c>
      <c r="P86" s="19" t="s">
        <v>926</v>
      </c>
      <c r="Q86" s="19" t="s">
        <v>927</v>
      </c>
      <c r="R86" s="19" t="s">
        <v>928</v>
      </c>
      <c r="S86" s="19" t="s">
        <v>929</v>
      </c>
      <c r="T86" s="19" t="s">
        <v>930</v>
      </c>
      <c r="U86" s="19" t="s">
        <v>931</v>
      </c>
      <c r="V86" s="21" t="s">
        <v>859</v>
      </c>
    </row>
    <row r="87" spans="1:22" ht="16.05" customHeight="1">
      <c r="A87" s="18" t="s">
        <v>846</v>
      </c>
      <c r="B87" s="19" t="s">
        <v>39</v>
      </c>
      <c r="C87" s="19">
        <v>8</v>
      </c>
      <c r="D87" s="19" t="s">
        <v>546</v>
      </c>
      <c r="E87" s="19" t="s">
        <v>547</v>
      </c>
      <c r="F87" s="20" t="s">
        <v>548</v>
      </c>
      <c r="G87" s="19">
        <v>12</v>
      </c>
      <c r="H87" s="19">
        <v>1</v>
      </c>
      <c r="I87" s="19">
        <v>7</v>
      </c>
      <c r="J87" s="19" t="s">
        <v>932</v>
      </c>
      <c r="K87" s="19" t="s">
        <v>933</v>
      </c>
      <c r="L87" s="19" t="s">
        <v>934</v>
      </c>
      <c r="M87" s="19" t="s">
        <v>935</v>
      </c>
      <c r="N87" s="19" t="s">
        <v>936</v>
      </c>
      <c r="O87" s="19" t="s">
        <v>937</v>
      </c>
      <c r="P87" s="19" t="s">
        <v>938</v>
      </c>
      <c r="Q87" s="19" t="s">
        <v>939</v>
      </c>
      <c r="R87" s="19" t="s">
        <v>940</v>
      </c>
      <c r="S87" s="19" t="s">
        <v>941</v>
      </c>
      <c r="T87" s="19" t="s">
        <v>942</v>
      </c>
      <c r="U87" s="19" t="s">
        <v>943</v>
      </c>
      <c r="V87" s="21" t="s">
        <v>859</v>
      </c>
    </row>
    <row r="88" spans="1:22" ht="16.05" customHeight="1">
      <c r="A88" s="18" t="s">
        <v>846</v>
      </c>
      <c r="B88" s="19" t="s">
        <v>39</v>
      </c>
      <c r="C88" s="19">
        <v>9</v>
      </c>
      <c r="D88" s="19" t="s">
        <v>588</v>
      </c>
      <c r="E88" s="19" t="s">
        <v>589</v>
      </c>
      <c r="F88" s="20" t="s">
        <v>590</v>
      </c>
      <c r="G88" s="19">
        <v>12</v>
      </c>
      <c r="H88" s="19">
        <v>1</v>
      </c>
      <c r="I88" s="19">
        <v>8</v>
      </c>
      <c r="J88" s="19" t="s">
        <v>944</v>
      </c>
      <c r="K88" s="19" t="s">
        <v>945</v>
      </c>
      <c r="L88" s="19" t="s">
        <v>946</v>
      </c>
      <c r="M88" s="19" t="s">
        <v>947</v>
      </c>
      <c r="N88" s="19" t="s">
        <v>948</v>
      </c>
      <c r="O88" s="19" t="s">
        <v>949</v>
      </c>
      <c r="P88" s="19" t="s">
        <v>950</v>
      </c>
      <c r="Q88" s="19" t="s">
        <v>951</v>
      </c>
      <c r="R88" s="19" t="s">
        <v>952</v>
      </c>
      <c r="S88" s="19" t="s">
        <v>953</v>
      </c>
      <c r="T88" s="19" t="s">
        <v>954</v>
      </c>
      <c r="U88" s="19" t="s">
        <v>955</v>
      </c>
      <c r="V88" s="21" t="s">
        <v>859</v>
      </c>
    </row>
    <row r="89" spans="1:22" ht="16.05" customHeight="1">
      <c r="A89" s="18" t="s">
        <v>846</v>
      </c>
      <c r="B89" s="19" t="s">
        <v>39</v>
      </c>
      <c r="C89" s="19">
        <v>10</v>
      </c>
      <c r="D89" s="19" t="s">
        <v>624</v>
      </c>
      <c r="E89" s="19" t="s">
        <v>625</v>
      </c>
      <c r="F89" s="20" t="s">
        <v>626</v>
      </c>
      <c r="G89" s="19">
        <v>12</v>
      </c>
      <c r="H89" s="19">
        <v>1</v>
      </c>
      <c r="I89" s="19">
        <v>9</v>
      </c>
      <c r="J89" s="19" t="s">
        <v>956</v>
      </c>
      <c r="K89" s="19" t="s">
        <v>957</v>
      </c>
      <c r="L89" s="19" t="s">
        <v>958</v>
      </c>
      <c r="M89" s="19" t="s">
        <v>959</v>
      </c>
      <c r="N89" s="19" t="s">
        <v>960</v>
      </c>
      <c r="O89" s="19" t="s">
        <v>961</v>
      </c>
      <c r="P89" s="19" t="s">
        <v>962</v>
      </c>
      <c r="Q89" s="19" t="s">
        <v>963</v>
      </c>
      <c r="R89" s="19" t="s">
        <v>964</v>
      </c>
      <c r="S89" s="19" t="s">
        <v>965</v>
      </c>
      <c r="T89" s="19" t="s">
        <v>966</v>
      </c>
      <c r="U89" s="19" t="s">
        <v>967</v>
      </c>
      <c r="V89" s="21" t="s">
        <v>859</v>
      </c>
    </row>
    <row r="90" spans="1:22" ht="16.05" customHeight="1">
      <c r="A90" s="18" t="s">
        <v>846</v>
      </c>
      <c r="B90" s="19" t="s">
        <v>39</v>
      </c>
      <c r="C90" s="19">
        <v>11</v>
      </c>
      <c r="D90" s="19" t="s">
        <v>654</v>
      </c>
      <c r="E90" s="19" t="s">
        <v>655</v>
      </c>
      <c r="F90" s="20" t="s">
        <v>656</v>
      </c>
      <c r="G90" s="19">
        <v>12</v>
      </c>
      <c r="H90" s="19">
        <v>1</v>
      </c>
      <c r="I90" s="19">
        <v>10</v>
      </c>
      <c r="J90" s="19" t="s">
        <v>968</v>
      </c>
      <c r="K90" s="19" t="s">
        <v>969</v>
      </c>
      <c r="L90" s="19" t="s">
        <v>970</v>
      </c>
      <c r="M90" s="19" t="s">
        <v>971</v>
      </c>
      <c r="N90" s="19" t="s">
        <v>972</v>
      </c>
      <c r="O90" s="19" t="s">
        <v>973</v>
      </c>
      <c r="P90" s="19" t="s">
        <v>974</v>
      </c>
      <c r="Q90" s="19" t="s">
        <v>975</v>
      </c>
      <c r="R90" s="19" t="s">
        <v>976</v>
      </c>
      <c r="S90" s="19" t="s">
        <v>977</v>
      </c>
      <c r="T90" s="19" t="s">
        <v>978</v>
      </c>
      <c r="U90" s="19" t="s">
        <v>979</v>
      </c>
      <c r="V90" s="21" t="s">
        <v>859</v>
      </c>
    </row>
    <row r="91" spans="1:22" ht="16.05" customHeight="1">
      <c r="A91" s="18" t="s">
        <v>846</v>
      </c>
      <c r="B91" s="19" t="s">
        <v>40</v>
      </c>
      <c r="C91" s="19">
        <v>1</v>
      </c>
      <c r="D91" s="19" t="s">
        <v>255</v>
      </c>
      <c r="E91" s="19" t="s">
        <v>256</v>
      </c>
      <c r="F91" s="20" t="s">
        <v>257</v>
      </c>
      <c r="G91" s="19">
        <v>12</v>
      </c>
      <c r="H91" s="19">
        <v>1</v>
      </c>
      <c r="I91" s="19">
        <v>0</v>
      </c>
      <c r="J91" s="19" t="s">
        <v>847</v>
      </c>
      <c r="K91" s="19" t="s">
        <v>848</v>
      </c>
      <c r="L91" s="19" t="s">
        <v>849</v>
      </c>
      <c r="M91" s="19" t="s">
        <v>850</v>
      </c>
      <c r="N91" s="19" t="s">
        <v>851</v>
      </c>
      <c r="O91" s="19" t="s">
        <v>852</v>
      </c>
      <c r="P91" s="19" t="s">
        <v>853</v>
      </c>
      <c r="Q91" s="19" t="s">
        <v>854</v>
      </c>
      <c r="R91" s="19" t="s">
        <v>855</v>
      </c>
      <c r="S91" s="19" t="s">
        <v>856</v>
      </c>
      <c r="T91" s="19" t="s">
        <v>857</v>
      </c>
      <c r="U91" s="19" t="s">
        <v>858</v>
      </c>
      <c r="V91" s="21" t="s">
        <v>859</v>
      </c>
    </row>
    <row r="92" spans="1:22" ht="16.05" customHeight="1">
      <c r="A92" s="18" t="s">
        <v>846</v>
      </c>
      <c r="B92" s="19" t="s">
        <v>40</v>
      </c>
      <c r="C92" s="19">
        <v>2</v>
      </c>
      <c r="D92" s="19" t="s">
        <v>297</v>
      </c>
      <c r="E92" s="19" t="s">
        <v>298</v>
      </c>
      <c r="F92" s="20" t="s">
        <v>299</v>
      </c>
      <c r="G92" s="19">
        <v>12</v>
      </c>
      <c r="H92" s="19">
        <v>1</v>
      </c>
      <c r="I92" s="19">
        <v>1</v>
      </c>
      <c r="J92" s="19" t="s">
        <v>860</v>
      </c>
      <c r="K92" s="19" t="s">
        <v>861</v>
      </c>
      <c r="L92" s="19" t="s">
        <v>862</v>
      </c>
      <c r="M92" s="19" t="s">
        <v>863</v>
      </c>
      <c r="N92" s="19" t="s">
        <v>864</v>
      </c>
      <c r="O92" s="19" t="s">
        <v>865</v>
      </c>
      <c r="P92" s="19" t="s">
        <v>866</v>
      </c>
      <c r="Q92" s="19" t="s">
        <v>867</v>
      </c>
      <c r="R92" s="19" t="s">
        <v>868</v>
      </c>
      <c r="S92" s="19" t="s">
        <v>869</v>
      </c>
      <c r="T92" s="19" t="s">
        <v>870</v>
      </c>
      <c r="U92" s="19" t="s">
        <v>871</v>
      </c>
      <c r="V92" s="21" t="s">
        <v>859</v>
      </c>
    </row>
    <row r="93" spans="1:22" ht="16.05" customHeight="1">
      <c r="A93" s="18" t="s">
        <v>846</v>
      </c>
      <c r="B93" s="19" t="s">
        <v>40</v>
      </c>
      <c r="C93" s="19">
        <v>3</v>
      </c>
      <c r="D93" s="19" t="s">
        <v>339</v>
      </c>
      <c r="E93" s="19" t="s">
        <v>340</v>
      </c>
      <c r="F93" s="20" t="s">
        <v>341</v>
      </c>
      <c r="G93" s="19">
        <v>12</v>
      </c>
      <c r="H93" s="19">
        <v>1</v>
      </c>
      <c r="I93" s="19">
        <v>2</v>
      </c>
      <c r="J93" s="19" t="s">
        <v>872</v>
      </c>
      <c r="K93" s="19" t="s">
        <v>873</v>
      </c>
      <c r="L93" s="19" t="s">
        <v>874</v>
      </c>
      <c r="M93" s="19" t="s">
        <v>875</v>
      </c>
      <c r="N93" s="19" t="s">
        <v>876</v>
      </c>
      <c r="O93" s="19" t="s">
        <v>877</v>
      </c>
      <c r="P93" s="19" t="s">
        <v>878</v>
      </c>
      <c r="Q93" s="19" t="s">
        <v>879</v>
      </c>
      <c r="R93" s="19" t="s">
        <v>880</v>
      </c>
      <c r="S93" s="19" t="s">
        <v>881</v>
      </c>
      <c r="T93" s="19" t="s">
        <v>882</v>
      </c>
      <c r="U93" s="19" t="s">
        <v>883</v>
      </c>
      <c r="V93" s="21" t="s">
        <v>859</v>
      </c>
    </row>
    <row r="94" spans="1:22" ht="16.05" customHeight="1">
      <c r="A94" s="18" t="s">
        <v>846</v>
      </c>
      <c r="B94" s="19" t="s">
        <v>40</v>
      </c>
      <c r="C94" s="19">
        <v>4</v>
      </c>
      <c r="D94" s="19" t="s">
        <v>381</v>
      </c>
      <c r="E94" s="19" t="s">
        <v>382</v>
      </c>
      <c r="F94" s="20" t="s">
        <v>383</v>
      </c>
      <c r="G94" s="19">
        <v>12</v>
      </c>
      <c r="H94" s="19">
        <v>1</v>
      </c>
      <c r="I94" s="19">
        <v>3</v>
      </c>
      <c r="J94" s="19" t="s">
        <v>884</v>
      </c>
      <c r="K94" s="19" t="s">
        <v>885</v>
      </c>
      <c r="L94" s="19" t="s">
        <v>886</v>
      </c>
      <c r="M94" s="19" t="s">
        <v>887</v>
      </c>
      <c r="N94" s="19" t="s">
        <v>888</v>
      </c>
      <c r="O94" s="19" t="s">
        <v>889</v>
      </c>
      <c r="P94" s="19" t="s">
        <v>890</v>
      </c>
      <c r="Q94" s="19" t="s">
        <v>891</v>
      </c>
      <c r="R94" s="19" t="s">
        <v>892</v>
      </c>
      <c r="S94" s="19" t="s">
        <v>893</v>
      </c>
      <c r="T94" s="19" t="s">
        <v>894</v>
      </c>
      <c r="U94" s="19" t="s">
        <v>895</v>
      </c>
      <c r="V94" s="21" t="s">
        <v>859</v>
      </c>
    </row>
    <row r="95" spans="1:22" ht="16.05" customHeight="1">
      <c r="A95" s="18" t="s">
        <v>846</v>
      </c>
      <c r="B95" s="19" t="s">
        <v>40</v>
      </c>
      <c r="C95" s="19">
        <v>5</v>
      </c>
      <c r="D95" s="19" t="s">
        <v>423</v>
      </c>
      <c r="E95" s="19" t="s">
        <v>424</v>
      </c>
      <c r="F95" s="20" t="s">
        <v>425</v>
      </c>
      <c r="G95" s="19">
        <v>12</v>
      </c>
      <c r="H95" s="19">
        <v>1</v>
      </c>
      <c r="I95" s="19">
        <v>4</v>
      </c>
      <c r="J95" s="19" t="s">
        <v>896</v>
      </c>
      <c r="K95" s="19" t="s">
        <v>897</v>
      </c>
      <c r="L95" s="19" t="s">
        <v>898</v>
      </c>
      <c r="M95" s="19" t="s">
        <v>899</v>
      </c>
      <c r="N95" s="19" t="s">
        <v>900</v>
      </c>
      <c r="O95" s="19" t="s">
        <v>901</v>
      </c>
      <c r="P95" s="19" t="s">
        <v>902</v>
      </c>
      <c r="Q95" s="19" t="s">
        <v>903</v>
      </c>
      <c r="R95" s="19" t="s">
        <v>904</v>
      </c>
      <c r="S95" s="19" t="s">
        <v>905</v>
      </c>
      <c r="T95" s="19" t="s">
        <v>906</v>
      </c>
      <c r="U95" s="19" t="s">
        <v>907</v>
      </c>
      <c r="V95" s="21" t="s">
        <v>859</v>
      </c>
    </row>
    <row r="96" spans="1:22" ht="16.05" customHeight="1">
      <c r="A96" s="18" t="s">
        <v>846</v>
      </c>
      <c r="B96" s="19" t="s">
        <v>40</v>
      </c>
      <c r="C96" s="19">
        <v>6</v>
      </c>
      <c r="D96" s="19" t="s">
        <v>465</v>
      </c>
      <c r="E96" s="19" t="s">
        <v>466</v>
      </c>
      <c r="F96" s="20" t="s">
        <v>467</v>
      </c>
      <c r="G96" s="19">
        <v>12</v>
      </c>
      <c r="H96" s="19">
        <v>1</v>
      </c>
      <c r="I96" s="19">
        <v>5</v>
      </c>
      <c r="J96" s="19" t="s">
        <v>908</v>
      </c>
      <c r="K96" s="19" t="s">
        <v>909</v>
      </c>
      <c r="L96" s="19" t="s">
        <v>910</v>
      </c>
      <c r="M96" s="19" t="s">
        <v>911</v>
      </c>
      <c r="N96" s="19" t="s">
        <v>912</v>
      </c>
      <c r="O96" s="19" t="s">
        <v>913</v>
      </c>
      <c r="P96" s="19" t="s">
        <v>914</v>
      </c>
      <c r="Q96" s="19" t="s">
        <v>915</v>
      </c>
      <c r="R96" s="19" t="s">
        <v>916</v>
      </c>
      <c r="S96" s="19" t="s">
        <v>917</v>
      </c>
      <c r="T96" s="19" t="s">
        <v>918</v>
      </c>
      <c r="U96" s="19" t="s">
        <v>919</v>
      </c>
      <c r="V96" s="21" t="s">
        <v>859</v>
      </c>
    </row>
    <row r="97" spans="1:22" ht="16.05" customHeight="1">
      <c r="A97" s="18" t="s">
        <v>846</v>
      </c>
      <c r="B97" s="19" t="s">
        <v>40</v>
      </c>
      <c r="C97" s="19">
        <v>7</v>
      </c>
      <c r="D97" s="19" t="s">
        <v>507</v>
      </c>
      <c r="E97" s="19" t="s">
        <v>508</v>
      </c>
      <c r="F97" s="20" t="s">
        <v>509</v>
      </c>
      <c r="G97" s="19">
        <v>12</v>
      </c>
      <c r="H97" s="19">
        <v>1</v>
      </c>
      <c r="I97" s="19">
        <v>6</v>
      </c>
      <c r="J97" s="19" t="s">
        <v>920</v>
      </c>
      <c r="K97" s="19" t="s">
        <v>921</v>
      </c>
      <c r="L97" s="19" t="s">
        <v>922</v>
      </c>
      <c r="M97" s="19" t="s">
        <v>923</v>
      </c>
      <c r="N97" s="19" t="s">
        <v>924</v>
      </c>
      <c r="O97" s="19" t="s">
        <v>925</v>
      </c>
      <c r="P97" s="19" t="s">
        <v>926</v>
      </c>
      <c r="Q97" s="19" t="s">
        <v>927</v>
      </c>
      <c r="R97" s="19" t="s">
        <v>928</v>
      </c>
      <c r="S97" s="19" t="s">
        <v>929</v>
      </c>
      <c r="T97" s="19" t="s">
        <v>930</v>
      </c>
      <c r="U97" s="19" t="s">
        <v>931</v>
      </c>
      <c r="V97" s="21" t="s">
        <v>859</v>
      </c>
    </row>
    <row r="98" spans="1:22" ht="16.05" customHeight="1">
      <c r="A98" s="18" t="s">
        <v>846</v>
      </c>
      <c r="B98" s="19" t="s">
        <v>40</v>
      </c>
      <c r="C98" s="19">
        <v>8</v>
      </c>
      <c r="D98" s="19" t="s">
        <v>549</v>
      </c>
      <c r="E98" s="19" t="s">
        <v>550</v>
      </c>
      <c r="F98" s="20" t="s">
        <v>551</v>
      </c>
      <c r="G98" s="19">
        <v>12</v>
      </c>
      <c r="H98" s="19">
        <v>1</v>
      </c>
      <c r="I98" s="19">
        <v>7</v>
      </c>
      <c r="J98" s="19" t="s">
        <v>932</v>
      </c>
      <c r="K98" s="19" t="s">
        <v>933</v>
      </c>
      <c r="L98" s="19" t="s">
        <v>934</v>
      </c>
      <c r="M98" s="19" t="s">
        <v>935</v>
      </c>
      <c r="N98" s="19" t="s">
        <v>936</v>
      </c>
      <c r="O98" s="19" t="s">
        <v>937</v>
      </c>
      <c r="P98" s="19" t="s">
        <v>938</v>
      </c>
      <c r="Q98" s="19" t="s">
        <v>939</v>
      </c>
      <c r="R98" s="19" t="s">
        <v>940</v>
      </c>
      <c r="S98" s="19" t="s">
        <v>941</v>
      </c>
      <c r="T98" s="19" t="s">
        <v>942</v>
      </c>
      <c r="U98" s="19" t="s">
        <v>943</v>
      </c>
      <c r="V98" s="21" t="s">
        <v>859</v>
      </c>
    </row>
    <row r="99" spans="1:22" ht="16.05" customHeight="1">
      <c r="A99" s="18" t="s">
        <v>846</v>
      </c>
      <c r="B99" s="19" t="s">
        <v>40</v>
      </c>
      <c r="C99" s="19">
        <v>9</v>
      </c>
      <c r="D99" s="19" t="s">
        <v>591</v>
      </c>
      <c r="E99" s="19" t="s">
        <v>592</v>
      </c>
      <c r="F99" s="20" t="s">
        <v>593</v>
      </c>
      <c r="G99" s="19">
        <v>12</v>
      </c>
      <c r="H99" s="19">
        <v>1</v>
      </c>
      <c r="I99" s="19">
        <v>8</v>
      </c>
      <c r="J99" s="19" t="s">
        <v>944</v>
      </c>
      <c r="K99" s="19" t="s">
        <v>945</v>
      </c>
      <c r="L99" s="19" t="s">
        <v>946</v>
      </c>
      <c r="M99" s="19" t="s">
        <v>947</v>
      </c>
      <c r="N99" s="19" t="s">
        <v>948</v>
      </c>
      <c r="O99" s="19" t="s">
        <v>949</v>
      </c>
      <c r="P99" s="19" t="s">
        <v>950</v>
      </c>
      <c r="Q99" s="19" t="s">
        <v>951</v>
      </c>
      <c r="R99" s="19" t="s">
        <v>952</v>
      </c>
      <c r="S99" s="19" t="s">
        <v>953</v>
      </c>
      <c r="T99" s="19" t="s">
        <v>954</v>
      </c>
      <c r="U99" s="19" t="s">
        <v>955</v>
      </c>
      <c r="V99" s="21" t="s">
        <v>859</v>
      </c>
    </row>
    <row r="100" spans="1:22" ht="16.05" customHeight="1">
      <c r="A100" s="18" t="s">
        <v>846</v>
      </c>
      <c r="B100" s="19" t="s">
        <v>40</v>
      </c>
      <c r="C100" s="19">
        <v>10</v>
      </c>
      <c r="D100" s="19" t="s">
        <v>627</v>
      </c>
      <c r="E100" s="19" t="s">
        <v>628</v>
      </c>
      <c r="F100" s="20" t="s">
        <v>629</v>
      </c>
      <c r="G100" s="19">
        <v>12</v>
      </c>
      <c r="H100" s="19">
        <v>1</v>
      </c>
      <c r="I100" s="19">
        <v>9</v>
      </c>
      <c r="J100" s="19" t="s">
        <v>956</v>
      </c>
      <c r="K100" s="19" t="s">
        <v>957</v>
      </c>
      <c r="L100" s="19" t="s">
        <v>958</v>
      </c>
      <c r="M100" s="19" t="s">
        <v>959</v>
      </c>
      <c r="N100" s="19" t="s">
        <v>960</v>
      </c>
      <c r="O100" s="19" t="s">
        <v>961</v>
      </c>
      <c r="P100" s="19" t="s">
        <v>962</v>
      </c>
      <c r="Q100" s="19" t="s">
        <v>963</v>
      </c>
      <c r="R100" s="19" t="s">
        <v>964</v>
      </c>
      <c r="S100" s="19" t="s">
        <v>965</v>
      </c>
      <c r="T100" s="19" t="s">
        <v>966</v>
      </c>
      <c r="U100" s="19" t="s">
        <v>967</v>
      </c>
      <c r="V100" s="21" t="s">
        <v>859</v>
      </c>
    </row>
    <row r="101" spans="1:22" ht="16.05" customHeight="1">
      <c r="A101" s="18" t="s">
        <v>846</v>
      </c>
      <c r="B101" s="19" t="s">
        <v>40</v>
      </c>
      <c r="C101" s="19">
        <v>11</v>
      </c>
      <c r="D101" s="19" t="s">
        <v>657</v>
      </c>
      <c r="E101" s="19" t="s">
        <v>658</v>
      </c>
      <c r="F101" s="20" t="s">
        <v>659</v>
      </c>
      <c r="G101" s="19">
        <v>12</v>
      </c>
      <c r="H101" s="19">
        <v>1</v>
      </c>
      <c r="I101" s="19">
        <v>10</v>
      </c>
      <c r="J101" s="19" t="s">
        <v>968</v>
      </c>
      <c r="K101" s="19" t="s">
        <v>969</v>
      </c>
      <c r="L101" s="19" t="s">
        <v>970</v>
      </c>
      <c r="M101" s="19" t="s">
        <v>971</v>
      </c>
      <c r="N101" s="19" t="s">
        <v>972</v>
      </c>
      <c r="O101" s="19" t="s">
        <v>973</v>
      </c>
      <c r="P101" s="19" t="s">
        <v>974</v>
      </c>
      <c r="Q101" s="19" t="s">
        <v>975</v>
      </c>
      <c r="R101" s="19" t="s">
        <v>976</v>
      </c>
      <c r="S101" s="19" t="s">
        <v>977</v>
      </c>
      <c r="T101" s="19" t="s">
        <v>978</v>
      </c>
      <c r="U101" s="19" t="s">
        <v>979</v>
      </c>
      <c r="V101" s="21" t="s">
        <v>859</v>
      </c>
    </row>
    <row r="102" spans="1:22" ht="16.05" customHeight="1">
      <c r="A102" s="18" t="s">
        <v>846</v>
      </c>
      <c r="B102" s="19" t="s">
        <v>40</v>
      </c>
      <c r="C102" s="19">
        <v>12</v>
      </c>
      <c r="D102" s="19" t="s">
        <v>675</v>
      </c>
      <c r="E102" s="19" t="s">
        <v>676</v>
      </c>
      <c r="F102" s="20" t="s">
        <v>677</v>
      </c>
      <c r="G102" s="19">
        <v>12</v>
      </c>
      <c r="H102" s="19">
        <v>1</v>
      </c>
      <c r="I102" s="19">
        <v>11</v>
      </c>
      <c r="J102" s="19" t="s">
        <v>980</v>
      </c>
      <c r="K102" s="19" t="s">
        <v>981</v>
      </c>
      <c r="L102" s="19" t="s">
        <v>982</v>
      </c>
      <c r="M102" s="19" t="s">
        <v>983</v>
      </c>
      <c r="N102" s="19" t="s">
        <v>984</v>
      </c>
      <c r="O102" s="19" t="s">
        <v>985</v>
      </c>
      <c r="P102" s="19" t="s">
        <v>986</v>
      </c>
      <c r="Q102" s="19" t="s">
        <v>987</v>
      </c>
      <c r="R102" s="19" t="s">
        <v>988</v>
      </c>
      <c r="S102" s="19" t="s">
        <v>989</v>
      </c>
      <c r="T102" s="19" t="s">
        <v>990</v>
      </c>
      <c r="U102" s="19" t="s">
        <v>991</v>
      </c>
      <c r="V102" s="21" t="s">
        <v>859</v>
      </c>
    </row>
    <row r="103" spans="1:22" ht="16.05" customHeight="1">
      <c r="A103" s="18" t="s">
        <v>846</v>
      </c>
      <c r="B103" s="19" t="s">
        <v>41</v>
      </c>
      <c r="C103" s="19">
        <v>1</v>
      </c>
      <c r="D103" s="19" t="s">
        <v>258</v>
      </c>
      <c r="E103" s="19" t="s">
        <v>259</v>
      </c>
      <c r="F103" s="20" t="s">
        <v>260</v>
      </c>
      <c r="G103" s="19">
        <v>12</v>
      </c>
      <c r="H103" s="19">
        <v>1</v>
      </c>
      <c r="I103" s="19">
        <v>0</v>
      </c>
      <c r="J103" s="19" t="s">
        <v>847</v>
      </c>
      <c r="K103" s="19" t="s">
        <v>848</v>
      </c>
      <c r="L103" s="19" t="s">
        <v>849</v>
      </c>
      <c r="M103" s="19" t="s">
        <v>850</v>
      </c>
      <c r="N103" s="19" t="s">
        <v>851</v>
      </c>
      <c r="O103" s="19" t="s">
        <v>852</v>
      </c>
      <c r="P103" s="19" t="s">
        <v>853</v>
      </c>
      <c r="Q103" s="19" t="s">
        <v>854</v>
      </c>
      <c r="R103" s="19" t="s">
        <v>855</v>
      </c>
      <c r="S103" s="19" t="s">
        <v>856</v>
      </c>
      <c r="T103" s="19" t="s">
        <v>857</v>
      </c>
      <c r="U103" s="19" t="s">
        <v>858</v>
      </c>
      <c r="V103" s="21" t="s">
        <v>859</v>
      </c>
    </row>
    <row r="104" spans="1:22" ht="16.05" customHeight="1">
      <c r="A104" s="18" t="s">
        <v>846</v>
      </c>
      <c r="B104" s="19" t="s">
        <v>41</v>
      </c>
      <c r="C104" s="19">
        <v>2</v>
      </c>
      <c r="D104" s="19" t="s">
        <v>300</v>
      </c>
      <c r="E104" s="19" t="s">
        <v>301</v>
      </c>
      <c r="F104" s="20" t="s">
        <v>302</v>
      </c>
      <c r="G104" s="19">
        <v>12</v>
      </c>
      <c r="H104" s="19">
        <v>1</v>
      </c>
      <c r="I104" s="19">
        <v>1</v>
      </c>
      <c r="J104" s="19" t="s">
        <v>860</v>
      </c>
      <c r="K104" s="19" t="s">
        <v>861</v>
      </c>
      <c r="L104" s="19" t="s">
        <v>862</v>
      </c>
      <c r="M104" s="19" t="s">
        <v>863</v>
      </c>
      <c r="N104" s="19" t="s">
        <v>864</v>
      </c>
      <c r="O104" s="19" t="s">
        <v>865</v>
      </c>
      <c r="P104" s="19" t="s">
        <v>866</v>
      </c>
      <c r="Q104" s="19" t="s">
        <v>867</v>
      </c>
      <c r="R104" s="19" t="s">
        <v>868</v>
      </c>
      <c r="S104" s="19" t="s">
        <v>869</v>
      </c>
      <c r="T104" s="19" t="s">
        <v>870</v>
      </c>
      <c r="U104" s="19" t="s">
        <v>871</v>
      </c>
      <c r="V104" s="21" t="s">
        <v>859</v>
      </c>
    </row>
    <row r="105" spans="1:22" ht="16.05" customHeight="1">
      <c r="A105" s="18" t="s">
        <v>846</v>
      </c>
      <c r="B105" s="19" t="s">
        <v>41</v>
      </c>
      <c r="C105" s="19">
        <v>3</v>
      </c>
      <c r="D105" s="19" t="s">
        <v>342</v>
      </c>
      <c r="E105" s="19" t="s">
        <v>343</v>
      </c>
      <c r="F105" s="20" t="s">
        <v>344</v>
      </c>
      <c r="G105" s="19">
        <v>12</v>
      </c>
      <c r="H105" s="19">
        <v>1</v>
      </c>
      <c r="I105" s="19">
        <v>2</v>
      </c>
      <c r="J105" s="19" t="s">
        <v>872</v>
      </c>
      <c r="K105" s="19" t="s">
        <v>873</v>
      </c>
      <c r="L105" s="19" t="s">
        <v>874</v>
      </c>
      <c r="M105" s="19" t="s">
        <v>875</v>
      </c>
      <c r="N105" s="19" t="s">
        <v>876</v>
      </c>
      <c r="O105" s="19" t="s">
        <v>877</v>
      </c>
      <c r="P105" s="19" t="s">
        <v>878</v>
      </c>
      <c r="Q105" s="19" t="s">
        <v>879</v>
      </c>
      <c r="R105" s="19" t="s">
        <v>880</v>
      </c>
      <c r="S105" s="19" t="s">
        <v>881</v>
      </c>
      <c r="T105" s="19" t="s">
        <v>882</v>
      </c>
      <c r="U105" s="19" t="s">
        <v>883</v>
      </c>
      <c r="V105" s="21" t="s">
        <v>859</v>
      </c>
    </row>
    <row r="106" spans="1:22" ht="16.05" customHeight="1">
      <c r="A106" s="18" t="s">
        <v>846</v>
      </c>
      <c r="B106" s="19" t="s">
        <v>41</v>
      </c>
      <c r="C106" s="19">
        <v>4</v>
      </c>
      <c r="D106" s="19" t="s">
        <v>384</v>
      </c>
      <c r="E106" s="19" t="s">
        <v>385</v>
      </c>
      <c r="F106" s="20" t="s">
        <v>386</v>
      </c>
      <c r="G106" s="19">
        <v>12</v>
      </c>
      <c r="H106" s="19">
        <v>1</v>
      </c>
      <c r="I106" s="19">
        <v>3</v>
      </c>
      <c r="J106" s="19" t="s">
        <v>884</v>
      </c>
      <c r="K106" s="19" t="s">
        <v>885</v>
      </c>
      <c r="L106" s="19" t="s">
        <v>886</v>
      </c>
      <c r="M106" s="19" t="s">
        <v>887</v>
      </c>
      <c r="N106" s="19" t="s">
        <v>888</v>
      </c>
      <c r="O106" s="19" t="s">
        <v>889</v>
      </c>
      <c r="P106" s="19" t="s">
        <v>890</v>
      </c>
      <c r="Q106" s="19" t="s">
        <v>891</v>
      </c>
      <c r="R106" s="19" t="s">
        <v>892</v>
      </c>
      <c r="S106" s="19" t="s">
        <v>893</v>
      </c>
      <c r="T106" s="19" t="s">
        <v>894</v>
      </c>
      <c r="U106" s="19" t="s">
        <v>895</v>
      </c>
      <c r="V106" s="21" t="s">
        <v>859</v>
      </c>
    </row>
    <row r="107" spans="1:22" ht="16.05" customHeight="1">
      <c r="A107" s="18" t="s">
        <v>846</v>
      </c>
      <c r="B107" s="19" t="s">
        <v>41</v>
      </c>
      <c r="C107" s="19">
        <v>5</v>
      </c>
      <c r="D107" s="19" t="s">
        <v>426</v>
      </c>
      <c r="E107" s="19" t="s">
        <v>427</v>
      </c>
      <c r="F107" s="20" t="s">
        <v>428</v>
      </c>
      <c r="G107" s="19">
        <v>12</v>
      </c>
      <c r="H107" s="19">
        <v>1</v>
      </c>
      <c r="I107" s="19">
        <v>4</v>
      </c>
      <c r="J107" s="19" t="s">
        <v>896</v>
      </c>
      <c r="K107" s="19" t="s">
        <v>897</v>
      </c>
      <c r="L107" s="19" t="s">
        <v>898</v>
      </c>
      <c r="M107" s="19" t="s">
        <v>899</v>
      </c>
      <c r="N107" s="19" t="s">
        <v>900</v>
      </c>
      <c r="O107" s="19" t="s">
        <v>901</v>
      </c>
      <c r="P107" s="19" t="s">
        <v>902</v>
      </c>
      <c r="Q107" s="19" t="s">
        <v>903</v>
      </c>
      <c r="R107" s="19" t="s">
        <v>904</v>
      </c>
      <c r="S107" s="19" t="s">
        <v>905</v>
      </c>
      <c r="T107" s="19" t="s">
        <v>906</v>
      </c>
      <c r="U107" s="19" t="s">
        <v>907</v>
      </c>
      <c r="V107" s="21" t="s">
        <v>859</v>
      </c>
    </row>
    <row r="108" spans="1:22" ht="16.05" customHeight="1">
      <c r="A108" s="18" t="s">
        <v>846</v>
      </c>
      <c r="B108" s="19" t="s">
        <v>41</v>
      </c>
      <c r="C108" s="19">
        <v>6</v>
      </c>
      <c r="D108" s="19" t="s">
        <v>468</v>
      </c>
      <c r="E108" s="19" t="s">
        <v>469</v>
      </c>
      <c r="F108" s="20" t="s">
        <v>470</v>
      </c>
      <c r="G108" s="19">
        <v>12</v>
      </c>
      <c r="H108" s="19">
        <v>1</v>
      </c>
      <c r="I108" s="19">
        <v>5</v>
      </c>
      <c r="J108" s="19" t="s">
        <v>908</v>
      </c>
      <c r="K108" s="19" t="s">
        <v>909</v>
      </c>
      <c r="L108" s="19" t="s">
        <v>910</v>
      </c>
      <c r="M108" s="19" t="s">
        <v>911</v>
      </c>
      <c r="N108" s="19" t="s">
        <v>912</v>
      </c>
      <c r="O108" s="19" t="s">
        <v>913</v>
      </c>
      <c r="P108" s="19" t="s">
        <v>914</v>
      </c>
      <c r="Q108" s="19" t="s">
        <v>915</v>
      </c>
      <c r="R108" s="19" t="s">
        <v>916</v>
      </c>
      <c r="S108" s="19" t="s">
        <v>917</v>
      </c>
      <c r="T108" s="19" t="s">
        <v>918</v>
      </c>
      <c r="U108" s="19" t="s">
        <v>919</v>
      </c>
      <c r="V108" s="21" t="s">
        <v>859</v>
      </c>
    </row>
    <row r="109" spans="1:22" ht="16.05" customHeight="1">
      <c r="A109" s="18" t="s">
        <v>846</v>
      </c>
      <c r="B109" s="19" t="s">
        <v>41</v>
      </c>
      <c r="C109" s="19">
        <v>7</v>
      </c>
      <c r="D109" s="19" t="s">
        <v>510</v>
      </c>
      <c r="E109" s="19" t="s">
        <v>511</v>
      </c>
      <c r="F109" s="20" t="s">
        <v>512</v>
      </c>
      <c r="G109" s="19">
        <v>12</v>
      </c>
      <c r="H109" s="19">
        <v>1</v>
      </c>
      <c r="I109" s="19">
        <v>6</v>
      </c>
      <c r="J109" s="19" t="s">
        <v>920</v>
      </c>
      <c r="K109" s="19" t="s">
        <v>921</v>
      </c>
      <c r="L109" s="19" t="s">
        <v>922</v>
      </c>
      <c r="M109" s="19" t="s">
        <v>923</v>
      </c>
      <c r="N109" s="19" t="s">
        <v>924</v>
      </c>
      <c r="O109" s="19" t="s">
        <v>925</v>
      </c>
      <c r="P109" s="19" t="s">
        <v>926</v>
      </c>
      <c r="Q109" s="19" t="s">
        <v>927</v>
      </c>
      <c r="R109" s="19" t="s">
        <v>928</v>
      </c>
      <c r="S109" s="19" t="s">
        <v>929</v>
      </c>
      <c r="T109" s="19" t="s">
        <v>930</v>
      </c>
      <c r="U109" s="19" t="s">
        <v>931</v>
      </c>
      <c r="V109" s="21" t="s">
        <v>859</v>
      </c>
    </row>
    <row r="110" spans="1:22" ht="16.05" customHeight="1">
      <c r="A110" s="18" t="s">
        <v>846</v>
      </c>
      <c r="B110" s="19" t="s">
        <v>41</v>
      </c>
      <c r="C110" s="19">
        <v>8</v>
      </c>
      <c r="D110" s="19" t="s">
        <v>552</v>
      </c>
      <c r="E110" s="19" t="s">
        <v>553</v>
      </c>
      <c r="F110" s="20" t="s">
        <v>554</v>
      </c>
      <c r="G110" s="19">
        <v>12</v>
      </c>
      <c r="H110" s="19">
        <v>1</v>
      </c>
      <c r="I110" s="19">
        <v>7</v>
      </c>
      <c r="J110" s="19" t="s">
        <v>932</v>
      </c>
      <c r="K110" s="19" t="s">
        <v>933</v>
      </c>
      <c r="L110" s="19" t="s">
        <v>934</v>
      </c>
      <c r="M110" s="19" t="s">
        <v>935</v>
      </c>
      <c r="N110" s="19" t="s">
        <v>936</v>
      </c>
      <c r="O110" s="19" t="s">
        <v>937</v>
      </c>
      <c r="P110" s="19" t="s">
        <v>938</v>
      </c>
      <c r="Q110" s="19" t="s">
        <v>939</v>
      </c>
      <c r="R110" s="19" t="s">
        <v>940</v>
      </c>
      <c r="S110" s="19" t="s">
        <v>941</v>
      </c>
      <c r="T110" s="19" t="s">
        <v>942</v>
      </c>
      <c r="U110" s="19" t="s">
        <v>943</v>
      </c>
      <c r="V110" s="21" t="s">
        <v>859</v>
      </c>
    </row>
    <row r="111" spans="1:22" ht="16.05" customHeight="1">
      <c r="A111" s="18" t="s">
        <v>846</v>
      </c>
      <c r="B111" s="19" t="s">
        <v>41</v>
      </c>
      <c r="C111" s="19">
        <v>9</v>
      </c>
      <c r="D111" s="19" t="s">
        <v>594</v>
      </c>
      <c r="E111" s="19" t="s">
        <v>595</v>
      </c>
      <c r="F111" s="20" t="s">
        <v>596</v>
      </c>
      <c r="G111" s="19">
        <v>12</v>
      </c>
      <c r="H111" s="19">
        <v>1</v>
      </c>
      <c r="I111" s="19">
        <v>8</v>
      </c>
      <c r="J111" s="19" t="s">
        <v>944</v>
      </c>
      <c r="K111" s="19" t="s">
        <v>945</v>
      </c>
      <c r="L111" s="19" t="s">
        <v>946</v>
      </c>
      <c r="M111" s="19" t="s">
        <v>947</v>
      </c>
      <c r="N111" s="19" t="s">
        <v>948</v>
      </c>
      <c r="O111" s="19" t="s">
        <v>949</v>
      </c>
      <c r="P111" s="19" t="s">
        <v>950</v>
      </c>
      <c r="Q111" s="19" t="s">
        <v>951</v>
      </c>
      <c r="R111" s="19" t="s">
        <v>952</v>
      </c>
      <c r="S111" s="19" t="s">
        <v>953</v>
      </c>
      <c r="T111" s="19" t="s">
        <v>954</v>
      </c>
      <c r="U111" s="19" t="s">
        <v>955</v>
      </c>
      <c r="V111" s="21" t="s">
        <v>859</v>
      </c>
    </row>
    <row r="112" spans="1:22" ht="16.05" customHeight="1">
      <c r="A112" s="18" t="s">
        <v>846</v>
      </c>
      <c r="B112" s="19" t="s">
        <v>41</v>
      </c>
      <c r="C112" s="19">
        <v>10</v>
      </c>
      <c r="D112" s="19" t="s">
        <v>630</v>
      </c>
      <c r="E112" s="19" t="s">
        <v>631</v>
      </c>
      <c r="F112" s="20" t="s">
        <v>632</v>
      </c>
      <c r="G112" s="19">
        <v>12</v>
      </c>
      <c r="H112" s="19">
        <v>1</v>
      </c>
      <c r="I112" s="19">
        <v>9</v>
      </c>
      <c r="J112" s="19" t="s">
        <v>956</v>
      </c>
      <c r="K112" s="19" t="s">
        <v>957</v>
      </c>
      <c r="L112" s="19" t="s">
        <v>958</v>
      </c>
      <c r="M112" s="19" t="s">
        <v>959</v>
      </c>
      <c r="N112" s="19" t="s">
        <v>960</v>
      </c>
      <c r="O112" s="19" t="s">
        <v>961</v>
      </c>
      <c r="P112" s="19" t="s">
        <v>962</v>
      </c>
      <c r="Q112" s="19" t="s">
        <v>963</v>
      </c>
      <c r="R112" s="19" t="s">
        <v>964</v>
      </c>
      <c r="S112" s="19" t="s">
        <v>965</v>
      </c>
      <c r="T112" s="19" t="s">
        <v>966</v>
      </c>
      <c r="U112" s="19" t="s">
        <v>967</v>
      </c>
      <c r="V112" s="21" t="s">
        <v>859</v>
      </c>
    </row>
    <row r="113" spans="1:22" ht="16.05" customHeight="1">
      <c r="A113" s="18" t="s">
        <v>846</v>
      </c>
      <c r="B113" s="19" t="s">
        <v>41</v>
      </c>
      <c r="C113" s="19">
        <v>11</v>
      </c>
      <c r="D113" s="19" t="s">
        <v>660</v>
      </c>
      <c r="E113" s="19" t="s">
        <v>661</v>
      </c>
      <c r="F113" s="20" t="s">
        <v>662</v>
      </c>
      <c r="G113" s="19">
        <v>12</v>
      </c>
      <c r="H113" s="19">
        <v>1</v>
      </c>
      <c r="I113" s="19">
        <v>10</v>
      </c>
      <c r="J113" s="19" t="s">
        <v>968</v>
      </c>
      <c r="K113" s="19" t="s">
        <v>969</v>
      </c>
      <c r="L113" s="19" t="s">
        <v>970</v>
      </c>
      <c r="M113" s="19" t="s">
        <v>971</v>
      </c>
      <c r="N113" s="19" t="s">
        <v>972</v>
      </c>
      <c r="O113" s="19" t="s">
        <v>973</v>
      </c>
      <c r="P113" s="19" t="s">
        <v>974</v>
      </c>
      <c r="Q113" s="19" t="s">
        <v>975</v>
      </c>
      <c r="R113" s="19" t="s">
        <v>976</v>
      </c>
      <c r="S113" s="19" t="s">
        <v>977</v>
      </c>
      <c r="T113" s="19" t="s">
        <v>978</v>
      </c>
      <c r="U113" s="19" t="s">
        <v>979</v>
      </c>
      <c r="V113" s="21" t="s">
        <v>859</v>
      </c>
    </row>
    <row r="114" spans="1:22" ht="16.05" customHeight="1">
      <c r="A114" s="18" t="s">
        <v>846</v>
      </c>
      <c r="B114" s="19" t="s">
        <v>41</v>
      </c>
      <c r="C114" s="19">
        <v>12</v>
      </c>
      <c r="D114" s="19" t="s">
        <v>678</v>
      </c>
      <c r="E114" s="19" t="s">
        <v>679</v>
      </c>
      <c r="F114" s="20" t="s">
        <v>680</v>
      </c>
      <c r="G114" s="19">
        <v>12</v>
      </c>
      <c r="H114" s="19">
        <v>1</v>
      </c>
      <c r="I114" s="19">
        <v>11</v>
      </c>
      <c r="J114" s="19" t="s">
        <v>980</v>
      </c>
      <c r="K114" s="19" t="s">
        <v>981</v>
      </c>
      <c r="L114" s="19" t="s">
        <v>982</v>
      </c>
      <c r="M114" s="19" t="s">
        <v>983</v>
      </c>
      <c r="N114" s="19" t="s">
        <v>984</v>
      </c>
      <c r="O114" s="19" t="s">
        <v>985</v>
      </c>
      <c r="P114" s="19" t="s">
        <v>986</v>
      </c>
      <c r="Q114" s="19" t="s">
        <v>987</v>
      </c>
      <c r="R114" s="19" t="s">
        <v>988</v>
      </c>
      <c r="S114" s="19" t="s">
        <v>989</v>
      </c>
      <c r="T114" s="19" t="s">
        <v>990</v>
      </c>
      <c r="U114" s="19" t="s">
        <v>991</v>
      </c>
      <c r="V114" s="21" t="s">
        <v>859</v>
      </c>
    </row>
    <row r="115" spans="1:22" ht="16.05" customHeight="1">
      <c r="A115" s="18" t="s">
        <v>846</v>
      </c>
      <c r="B115" s="19" t="s">
        <v>41</v>
      </c>
      <c r="C115" s="19">
        <v>13</v>
      </c>
      <c r="D115" s="19" t="s">
        <v>693</v>
      </c>
      <c r="E115" s="19" t="s">
        <v>694</v>
      </c>
      <c r="F115" s="20" t="s">
        <v>695</v>
      </c>
      <c r="G115" s="19">
        <v>12</v>
      </c>
      <c r="H115" s="19">
        <v>1</v>
      </c>
      <c r="I115" s="19">
        <v>12</v>
      </c>
      <c r="J115" s="19" t="s">
        <v>992</v>
      </c>
      <c r="K115" s="19" t="s">
        <v>993</v>
      </c>
      <c r="L115" s="19" t="s">
        <v>994</v>
      </c>
      <c r="M115" s="19" t="s">
        <v>995</v>
      </c>
      <c r="N115" s="19" t="s">
        <v>996</v>
      </c>
      <c r="O115" s="19" t="s">
        <v>997</v>
      </c>
      <c r="P115" s="19" t="s">
        <v>998</v>
      </c>
      <c r="Q115" s="19" t="s">
        <v>999</v>
      </c>
      <c r="R115" s="19" t="s">
        <v>1000</v>
      </c>
      <c r="S115" s="19" t="s">
        <v>1001</v>
      </c>
      <c r="T115" s="19" t="s">
        <v>1002</v>
      </c>
      <c r="U115" s="19" t="s">
        <v>1003</v>
      </c>
      <c r="V115" s="21" t="s">
        <v>859</v>
      </c>
    </row>
    <row r="116" spans="1:22" ht="16.05" customHeight="1">
      <c r="A116" s="18" t="s">
        <v>846</v>
      </c>
      <c r="B116" s="19" t="s">
        <v>41</v>
      </c>
      <c r="C116" s="19">
        <v>14</v>
      </c>
      <c r="D116" s="19" t="s">
        <v>708</v>
      </c>
      <c r="E116" s="19" t="s">
        <v>709</v>
      </c>
      <c r="F116" s="20" t="s">
        <v>710</v>
      </c>
      <c r="G116" s="19">
        <v>12</v>
      </c>
      <c r="H116" s="19">
        <v>1</v>
      </c>
      <c r="I116" s="19">
        <v>13</v>
      </c>
      <c r="J116" s="19" t="s">
        <v>1004</v>
      </c>
      <c r="K116" s="19" t="s">
        <v>1005</v>
      </c>
      <c r="L116" s="19" t="s">
        <v>1006</v>
      </c>
      <c r="M116" s="19" t="s">
        <v>1007</v>
      </c>
      <c r="N116" s="19" t="s">
        <v>1008</v>
      </c>
      <c r="O116" s="19" t="s">
        <v>1009</v>
      </c>
      <c r="P116" s="19" t="s">
        <v>1010</v>
      </c>
      <c r="Q116" s="19" t="s">
        <v>1011</v>
      </c>
      <c r="R116" s="19" t="s">
        <v>1012</v>
      </c>
      <c r="S116" s="19" t="s">
        <v>1013</v>
      </c>
      <c r="T116" s="19" t="s">
        <v>1014</v>
      </c>
      <c r="U116" s="19" t="s">
        <v>1015</v>
      </c>
      <c r="V116" s="21" t="s">
        <v>859</v>
      </c>
    </row>
    <row r="117" spans="1:22" ht="16.05" customHeight="1">
      <c r="A117" s="18" t="s">
        <v>846</v>
      </c>
      <c r="B117" s="19" t="s">
        <v>41</v>
      </c>
      <c r="C117" s="19">
        <v>15</v>
      </c>
      <c r="D117" s="19" t="s">
        <v>720</v>
      </c>
      <c r="E117" s="19" t="s">
        <v>721</v>
      </c>
      <c r="F117" s="20" t="s">
        <v>722</v>
      </c>
      <c r="G117" s="19">
        <v>12</v>
      </c>
      <c r="H117" s="19">
        <v>1</v>
      </c>
      <c r="I117" s="19">
        <v>14</v>
      </c>
      <c r="J117" s="19" t="s">
        <v>1016</v>
      </c>
      <c r="K117" s="19" t="s">
        <v>1017</v>
      </c>
      <c r="L117" s="19" t="s">
        <v>1018</v>
      </c>
      <c r="M117" s="19" t="s">
        <v>1019</v>
      </c>
      <c r="N117" s="19" t="s">
        <v>1020</v>
      </c>
      <c r="O117" s="19" t="s">
        <v>1021</v>
      </c>
      <c r="P117" s="19" t="s">
        <v>1022</v>
      </c>
      <c r="Q117" s="19" t="s">
        <v>1023</v>
      </c>
      <c r="R117" s="19" t="s">
        <v>1024</v>
      </c>
      <c r="S117" s="19" t="s">
        <v>1025</v>
      </c>
      <c r="T117" s="19" t="s">
        <v>1026</v>
      </c>
      <c r="U117" s="19" t="s">
        <v>1027</v>
      </c>
      <c r="V117" s="21" t="s">
        <v>859</v>
      </c>
    </row>
    <row r="118" spans="1:22" ht="16.05" customHeight="1">
      <c r="A118" s="18" t="s">
        <v>846</v>
      </c>
      <c r="B118" s="19" t="s">
        <v>41</v>
      </c>
      <c r="C118" s="19">
        <v>16</v>
      </c>
      <c r="D118" s="19" t="s">
        <v>732</v>
      </c>
      <c r="E118" s="19" t="s">
        <v>733</v>
      </c>
      <c r="F118" s="20" t="s">
        <v>734</v>
      </c>
      <c r="G118" s="19">
        <v>12</v>
      </c>
      <c r="H118" s="19">
        <v>1</v>
      </c>
      <c r="I118" s="19">
        <v>15</v>
      </c>
      <c r="J118" s="19" t="s">
        <v>1028</v>
      </c>
      <c r="K118" s="19" t="s">
        <v>1029</v>
      </c>
      <c r="L118" s="19" t="s">
        <v>1030</v>
      </c>
      <c r="M118" s="19" t="s">
        <v>1031</v>
      </c>
      <c r="N118" s="19" t="s">
        <v>1032</v>
      </c>
      <c r="O118" s="19" t="s">
        <v>1033</v>
      </c>
      <c r="P118" s="19" t="s">
        <v>1034</v>
      </c>
      <c r="Q118" s="19" t="s">
        <v>1035</v>
      </c>
      <c r="R118" s="19" t="s">
        <v>1036</v>
      </c>
      <c r="S118" s="19" t="s">
        <v>1037</v>
      </c>
      <c r="T118" s="19" t="s">
        <v>1038</v>
      </c>
      <c r="U118" s="19" t="s">
        <v>1039</v>
      </c>
      <c r="V118" s="21" t="s">
        <v>859</v>
      </c>
    </row>
    <row r="119" spans="1:22" ht="16.05" customHeight="1">
      <c r="A119" s="18" t="s">
        <v>846</v>
      </c>
      <c r="B119" s="19" t="s">
        <v>42</v>
      </c>
      <c r="C119" s="19">
        <v>1</v>
      </c>
      <c r="D119" s="19" t="s">
        <v>261</v>
      </c>
      <c r="E119" s="19" t="s">
        <v>262</v>
      </c>
      <c r="F119" s="20" t="s">
        <v>263</v>
      </c>
      <c r="G119" s="19">
        <v>12</v>
      </c>
      <c r="H119" s="19">
        <v>1</v>
      </c>
      <c r="I119" s="19">
        <v>0</v>
      </c>
      <c r="J119" s="19" t="s">
        <v>847</v>
      </c>
      <c r="K119" s="19" t="s">
        <v>848</v>
      </c>
      <c r="L119" s="19" t="s">
        <v>849</v>
      </c>
      <c r="M119" s="19" t="s">
        <v>850</v>
      </c>
      <c r="N119" s="19" t="s">
        <v>851</v>
      </c>
      <c r="O119" s="19" t="s">
        <v>852</v>
      </c>
      <c r="P119" s="19" t="s">
        <v>853</v>
      </c>
      <c r="Q119" s="19" t="s">
        <v>854</v>
      </c>
      <c r="R119" s="19" t="s">
        <v>855</v>
      </c>
      <c r="S119" s="19" t="s">
        <v>856</v>
      </c>
      <c r="T119" s="19" t="s">
        <v>857</v>
      </c>
      <c r="U119" s="19" t="s">
        <v>858</v>
      </c>
      <c r="V119" s="21" t="s">
        <v>859</v>
      </c>
    </row>
    <row r="120" spans="1:22" ht="16.05" customHeight="1">
      <c r="A120" s="18" t="s">
        <v>846</v>
      </c>
      <c r="B120" s="19" t="s">
        <v>42</v>
      </c>
      <c r="C120" s="19">
        <v>2</v>
      </c>
      <c r="D120" s="19" t="s">
        <v>303</v>
      </c>
      <c r="E120" s="19" t="s">
        <v>304</v>
      </c>
      <c r="F120" s="20" t="s">
        <v>305</v>
      </c>
      <c r="G120" s="19">
        <v>12</v>
      </c>
      <c r="H120" s="19">
        <v>1</v>
      </c>
      <c r="I120" s="19">
        <v>1</v>
      </c>
      <c r="J120" s="19" t="s">
        <v>860</v>
      </c>
      <c r="K120" s="19" t="s">
        <v>861</v>
      </c>
      <c r="L120" s="19" t="s">
        <v>862</v>
      </c>
      <c r="M120" s="19" t="s">
        <v>863</v>
      </c>
      <c r="N120" s="19" t="s">
        <v>864</v>
      </c>
      <c r="O120" s="19" t="s">
        <v>865</v>
      </c>
      <c r="P120" s="19" t="s">
        <v>866</v>
      </c>
      <c r="Q120" s="19" t="s">
        <v>867</v>
      </c>
      <c r="R120" s="19" t="s">
        <v>868</v>
      </c>
      <c r="S120" s="19" t="s">
        <v>869</v>
      </c>
      <c r="T120" s="19" t="s">
        <v>870</v>
      </c>
      <c r="U120" s="19" t="s">
        <v>871</v>
      </c>
      <c r="V120" s="21" t="s">
        <v>859</v>
      </c>
    </row>
    <row r="121" spans="1:22" ht="16.05" customHeight="1">
      <c r="A121" s="18" t="s">
        <v>846</v>
      </c>
      <c r="B121" s="19" t="s">
        <v>42</v>
      </c>
      <c r="C121" s="19">
        <v>3</v>
      </c>
      <c r="D121" s="19" t="s">
        <v>345</v>
      </c>
      <c r="E121" s="19" t="s">
        <v>346</v>
      </c>
      <c r="F121" s="20" t="s">
        <v>347</v>
      </c>
      <c r="G121" s="19">
        <v>12</v>
      </c>
      <c r="H121" s="19">
        <v>1</v>
      </c>
      <c r="I121" s="19">
        <v>2</v>
      </c>
      <c r="J121" s="19" t="s">
        <v>872</v>
      </c>
      <c r="K121" s="19" t="s">
        <v>873</v>
      </c>
      <c r="L121" s="19" t="s">
        <v>874</v>
      </c>
      <c r="M121" s="19" t="s">
        <v>875</v>
      </c>
      <c r="N121" s="19" t="s">
        <v>876</v>
      </c>
      <c r="O121" s="19" t="s">
        <v>877</v>
      </c>
      <c r="P121" s="19" t="s">
        <v>878</v>
      </c>
      <c r="Q121" s="19" t="s">
        <v>879</v>
      </c>
      <c r="R121" s="19" t="s">
        <v>880</v>
      </c>
      <c r="S121" s="19" t="s">
        <v>881</v>
      </c>
      <c r="T121" s="19" t="s">
        <v>882</v>
      </c>
      <c r="U121" s="19" t="s">
        <v>883</v>
      </c>
      <c r="V121" s="21" t="s">
        <v>859</v>
      </c>
    </row>
    <row r="122" spans="1:22" ht="16.05" customHeight="1">
      <c r="A122" s="18" t="s">
        <v>846</v>
      </c>
      <c r="B122" s="19" t="s">
        <v>42</v>
      </c>
      <c r="C122" s="19">
        <v>4</v>
      </c>
      <c r="D122" s="19" t="s">
        <v>387</v>
      </c>
      <c r="E122" s="19" t="s">
        <v>388</v>
      </c>
      <c r="F122" s="20" t="s">
        <v>389</v>
      </c>
      <c r="G122" s="19">
        <v>12</v>
      </c>
      <c r="H122" s="19">
        <v>1</v>
      </c>
      <c r="I122" s="19">
        <v>3</v>
      </c>
      <c r="J122" s="19" t="s">
        <v>884</v>
      </c>
      <c r="K122" s="19" t="s">
        <v>885</v>
      </c>
      <c r="L122" s="19" t="s">
        <v>886</v>
      </c>
      <c r="M122" s="19" t="s">
        <v>887</v>
      </c>
      <c r="N122" s="19" t="s">
        <v>888</v>
      </c>
      <c r="O122" s="19" t="s">
        <v>889</v>
      </c>
      <c r="P122" s="19" t="s">
        <v>890</v>
      </c>
      <c r="Q122" s="19" t="s">
        <v>891</v>
      </c>
      <c r="R122" s="19" t="s">
        <v>892</v>
      </c>
      <c r="S122" s="19" t="s">
        <v>893</v>
      </c>
      <c r="T122" s="19" t="s">
        <v>894</v>
      </c>
      <c r="U122" s="19" t="s">
        <v>895</v>
      </c>
      <c r="V122" s="21" t="s">
        <v>859</v>
      </c>
    </row>
    <row r="123" spans="1:22" ht="16.05" customHeight="1">
      <c r="A123" s="18" t="s">
        <v>846</v>
      </c>
      <c r="B123" s="19" t="s">
        <v>42</v>
      </c>
      <c r="C123" s="19">
        <v>5</v>
      </c>
      <c r="D123" s="19" t="s">
        <v>429</v>
      </c>
      <c r="E123" s="19" t="s">
        <v>430</v>
      </c>
      <c r="F123" s="20" t="s">
        <v>431</v>
      </c>
      <c r="G123" s="19">
        <v>12</v>
      </c>
      <c r="H123" s="19">
        <v>1</v>
      </c>
      <c r="I123" s="19">
        <v>4</v>
      </c>
      <c r="J123" s="19" t="s">
        <v>896</v>
      </c>
      <c r="K123" s="19" t="s">
        <v>897</v>
      </c>
      <c r="L123" s="19" t="s">
        <v>898</v>
      </c>
      <c r="M123" s="19" t="s">
        <v>899</v>
      </c>
      <c r="N123" s="19" t="s">
        <v>900</v>
      </c>
      <c r="O123" s="19" t="s">
        <v>901</v>
      </c>
      <c r="P123" s="19" t="s">
        <v>902</v>
      </c>
      <c r="Q123" s="19" t="s">
        <v>903</v>
      </c>
      <c r="R123" s="19" t="s">
        <v>904</v>
      </c>
      <c r="S123" s="19" t="s">
        <v>905</v>
      </c>
      <c r="T123" s="19" t="s">
        <v>906</v>
      </c>
      <c r="U123" s="19" t="s">
        <v>907</v>
      </c>
      <c r="V123" s="21" t="s">
        <v>859</v>
      </c>
    </row>
    <row r="124" spans="1:22" ht="16.05" customHeight="1">
      <c r="A124" s="18" t="s">
        <v>846</v>
      </c>
      <c r="B124" s="19" t="s">
        <v>42</v>
      </c>
      <c r="C124" s="19">
        <v>6</v>
      </c>
      <c r="D124" s="19" t="s">
        <v>471</v>
      </c>
      <c r="E124" s="19" t="s">
        <v>472</v>
      </c>
      <c r="F124" s="20" t="s">
        <v>473</v>
      </c>
      <c r="G124" s="19">
        <v>12</v>
      </c>
      <c r="H124" s="19">
        <v>1</v>
      </c>
      <c r="I124" s="19">
        <v>5</v>
      </c>
      <c r="J124" s="19" t="s">
        <v>908</v>
      </c>
      <c r="K124" s="19" t="s">
        <v>909</v>
      </c>
      <c r="L124" s="19" t="s">
        <v>910</v>
      </c>
      <c r="M124" s="19" t="s">
        <v>911</v>
      </c>
      <c r="N124" s="19" t="s">
        <v>912</v>
      </c>
      <c r="O124" s="19" t="s">
        <v>913</v>
      </c>
      <c r="P124" s="19" t="s">
        <v>914</v>
      </c>
      <c r="Q124" s="19" t="s">
        <v>915</v>
      </c>
      <c r="R124" s="19" t="s">
        <v>916</v>
      </c>
      <c r="S124" s="19" t="s">
        <v>917</v>
      </c>
      <c r="T124" s="19" t="s">
        <v>918</v>
      </c>
      <c r="U124" s="19" t="s">
        <v>919</v>
      </c>
      <c r="V124" s="21" t="s">
        <v>859</v>
      </c>
    </row>
    <row r="125" spans="1:22" ht="16.05" customHeight="1">
      <c r="A125" s="18" t="s">
        <v>846</v>
      </c>
      <c r="B125" s="19" t="s">
        <v>42</v>
      </c>
      <c r="C125" s="19">
        <v>7</v>
      </c>
      <c r="D125" s="19" t="s">
        <v>513</v>
      </c>
      <c r="E125" s="19" t="s">
        <v>514</v>
      </c>
      <c r="F125" s="20" t="s">
        <v>515</v>
      </c>
      <c r="G125" s="19">
        <v>12</v>
      </c>
      <c r="H125" s="19">
        <v>1</v>
      </c>
      <c r="I125" s="19">
        <v>6</v>
      </c>
      <c r="J125" s="19" t="s">
        <v>920</v>
      </c>
      <c r="K125" s="19" t="s">
        <v>921</v>
      </c>
      <c r="L125" s="19" t="s">
        <v>922</v>
      </c>
      <c r="M125" s="19" t="s">
        <v>923</v>
      </c>
      <c r="N125" s="19" t="s">
        <v>924</v>
      </c>
      <c r="O125" s="19" t="s">
        <v>925</v>
      </c>
      <c r="P125" s="19" t="s">
        <v>926</v>
      </c>
      <c r="Q125" s="19" t="s">
        <v>927</v>
      </c>
      <c r="R125" s="19" t="s">
        <v>928</v>
      </c>
      <c r="S125" s="19" t="s">
        <v>929</v>
      </c>
      <c r="T125" s="19" t="s">
        <v>930</v>
      </c>
      <c r="U125" s="19" t="s">
        <v>931</v>
      </c>
      <c r="V125" s="21" t="s">
        <v>859</v>
      </c>
    </row>
    <row r="126" spans="1:22" ht="16.05" customHeight="1">
      <c r="A126" s="18" t="s">
        <v>846</v>
      </c>
      <c r="B126" s="19" t="s">
        <v>42</v>
      </c>
      <c r="C126" s="19">
        <v>8</v>
      </c>
      <c r="D126" s="19" t="s">
        <v>555</v>
      </c>
      <c r="E126" s="19" t="s">
        <v>556</v>
      </c>
      <c r="F126" s="20" t="s">
        <v>557</v>
      </c>
      <c r="G126" s="19">
        <v>12</v>
      </c>
      <c r="H126" s="19">
        <v>1</v>
      </c>
      <c r="I126" s="19">
        <v>7</v>
      </c>
      <c r="J126" s="19" t="s">
        <v>932</v>
      </c>
      <c r="K126" s="19" t="s">
        <v>933</v>
      </c>
      <c r="L126" s="19" t="s">
        <v>934</v>
      </c>
      <c r="M126" s="19" t="s">
        <v>935</v>
      </c>
      <c r="N126" s="19" t="s">
        <v>936</v>
      </c>
      <c r="O126" s="19" t="s">
        <v>937</v>
      </c>
      <c r="P126" s="19" t="s">
        <v>938</v>
      </c>
      <c r="Q126" s="19" t="s">
        <v>939</v>
      </c>
      <c r="R126" s="19" t="s">
        <v>940</v>
      </c>
      <c r="S126" s="19" t="s">
        <v>941</v>
      </c>
      <c r="T126" s="19" t="s">
        <v>942</v>
      </c>
      <c r="U126" s="19" t="s">
        <v>943</v>
      </c>
      <c r="V126" s="21" t="s">
        <v>859</v>
      </c>
    </row>
    <row r="127" spans="1:22" ht="16.05" customHeight="1">
      <c r="A127" s="18" t="s">
        <v>846</v>
      </c>
      <c r="B127" s="19" t="s">
        <v>42</v>
      </c>
      <c r="C127" s="19">
        <v>9</v>
      </c>
      <c r="D127" s="19" t="s">
        <v>597</v>
      </c>
      <c r="E127" s="19" t="s">
        <v>598</v>
      </c>
      <c r="F127" s="20" t="s">
        <v>599</v>
      </c>
      <c r="G127" s="19">
        <v>12</v>
      </c>
      <c r="H127" s="19">
        <v>1</v>
      </c>
      <c r="I127" s="19">
        <v>8</v>
      </c>
      <c r="J127" s="19" t="s">
        <v>944</v>
      </c>
      <c r="K127" s="19" t="s">
        <v>945</v>
      </c>
      <c r="L127" s="19" t="s">
        <v>946</v>
      </c>
      <c r="M127" s="19" t="s">
        <v>947</v>
      </c>
      <c r="N127" s="19" t="s">
        <v>948</v>
      </c>
      <c r="O127" s="19" t="s">
        <v>949</v>
      </c>
      <c r="P127" s="19" t="s">
        <v>950</v>
      </c>
      <c r="Q127" s="19" t="s">
        <v>951</v>
      </c>
      <c r="R127" s="19" t="s">
        <v>952</v>
      </c>
      <c r="S127" s="19" t="s">
        <v>953</v>
      </c>
      <c r="T127" s="19" t="s">
        <v>954</v>
      </c>
      <c r="U127" s="19" t="s">
        <v>955</v>
      </c>
      <c r="V127" s="21" t="s">
        <v>859</v>
      </c>
    </row>
    <row r="128" spans="1:22" ht="16.05" customHeight="1">
      <c r="A128" s="18" t="s">
        <v>846</v>
      </c>
      <c r="B128" s="19" t="s">
        <v>42</v>
      </c>
      <c r="C128" s="19">
        <v>10</v>
      </c>
      <c r="D128" s="19" t="s">
        <v>633</v>
      </c>
      <c r="E128" s="19" t="s">
        <v>634</v>
      </c>
      <c r="F128" s="20" t="s">
        <v>635</v>
      </c>
      <c r="G128" s="19">
        <v>12</v>
      </c>
      <c r="H128" s="19">
        <v>1</v>
      </c>
      <c r="I128" s="19">
        <v>9</v>
      </c>
      <c r="J128" s="19" t="s">
        <v>956</v>
      </c>
      <c r="K128" s="19" t="s">
        <v>957</v>
      </c>
      <c r="L128" s="19" t="s">
        <v>958</v>
      </c>
      <c r="M128" s="19" t="s">
        <v>959</v>
      </c>
      <c r="N128" s="19" t="s">
        <v>960</v>
      </c>
      <c r="O128" s="19" t="s">
        <v>961</v>
      </c>
      <c r="P128" s="19" t="s">
        <v>962</v>
      </c>
      <c r="Q128" s="19" t="s">
        <v>963</v>
      </c>
      <c r="R128" s="19" t="s">
        <v>964</v>
      </c>
      <c r="S128" s="19" t="s">
        <v>965</v>
      </c>
      <c r="T128" s="19" t="s">
        <v>966</v>
      </c>
      <c r="U128" s="19" t="s">
        <v>967</v>
      </c>
      <c r="V128" s="21" t="s">
        <v>859</v>
      </c>
    </row>
    <row r="129" spans="1:22" ht="16.05" customHeight="1">
      <c r="A129" s="18" t="s">
        <v>846</v>
      </c>
      <c r="B129" s="19" t="s">
        <v>43</v>
      </c>
      <c r="C129" s="19">
        <v>1</v>
      </c>
      <c r="D129" s="19" t="s">
        <v>264</v>
      </c>
      <c r="E129" s="19" t="s">
        <v>265</v>
      </c>
      <c r="F129" s="20" t="s">
        <v>266</v>
      </c>
      <c r="G129" s="19">
        <v>12</v>
      </c>
      <c r="H129" s="19">
        <v>1</v>
      </c>
      <c r="I129" s="19">
        <v>0</v>
      </c>
      <c r="J129" s="19" t="s">
        <v>847</v>
      </c>
      <c r="K129" s="19" t="s">
        <v>848</v>
      </c>
      <c r="L129" s="19" t="s">
        <v>849</v>
      </c>
      <c r="M129" s="19" t="s">
        <v>850</v>
      </c>
      <c r="N129" s="19" t="s">
        <v>851</v>
      </c>
      <c r="O129" s="19" t="s">
        <v>852</v>
      </c>
      <c r="P129" s="19" t="s">
        <v>853</v>
      </c>
      <c r="Q129" s="19" t="s">
        <v>854</v>
      </c>
      <c r="R129" s="19" t="s">
        <v>855</v>
      </c>
      <c r="S129" s="19" t="s">
        <v>856</v>
      </c>
      <c r="T129" s="19" t="s">
        <v>857</v>
      </c>
      <c r="U129" s="19" t="s">
        <v>858</v>
      </c>
      <c r="V129" s="21" t="s">
        <v>859</v>
      </c>
    </row>
    <row r="130" spans="1:22" ht="16.05" customHeight="1">
      <c r="A130" s="18" t="s">
        <v>846</v>
      </c>
      <c r="B130" s="19" t="s">
        <v>43</v>
      </c>
      <c r="C130" s="19">
        <v>2</v>
      </c>
      <c r="D130" s="19" t="s">
        <v>306</v>
      </c>
      <c r="E130" s="19" t="s">
        <v>307</v>
      </c>
      <c r="F130" s="20" t="s">
        <v>308</v>
      </c>
      <c r="G130" s="19">
        <v>12</v>
      </c>
      <c r="H130" s="19">
        <v>1</v>
      </c>
      <c r="I130" s="19">
        <v>1</v>
      </c>
      <c r="J130" s="19" t="s">
        <v>860</v>
      </c>
      <c r="K130" s="19" t="s">
        <v>861</v>
      </c>
      <c r="L130" s="19" t="s">
        <v>862</v>
      </c>
      <c r="M130" s="19" t="s">
        <v>863</v>
      </c>
      <c r="N130" s="19" t="s">
        <v>864</v>
      </c>
      <c r="O130" s="19" t="s">
        <v>865</v>
      </c>
      <c r="P130" s="19" t="s">
        <v>866</v>
      </c>
      <c r="Q130" s="19" t="s">
        <v>867</v>
      </c>
      <c r="R130" s="19" t="s">
        <v>868</v>
      </c>
      <c r="S130" s="19" t="s">
        <v>869</v>
      </c>
      <c r="T130" s="19" t="s">
        <v>870</v>
      </c>
      <c r="U130" s="19" t="s">
        <v>871</v>
      </c>
      <c r="V130" s="21" t="s">
        <v>859</v>
      </c>
    </row>
    <row r="131" spans="1:22" ht="16.05" customHeight="1">
      <c r="A131" s="18" t="s">
        <v>846</v>
      </c>
      <c r="B131" s="19" t="s">
        <v>43</v>
      </c>
      <c r="C131" s="19">
        <v>3</v>
      </c>
      <c r="D131" s="19" t="s">
        <v>348</v>
      </c>
      <c r="E131" s="19" t="s">
        <v>349</v>
      </c>
      <c r="F131" s="20" t="s">
        <v>350</v>
      </c>
      <c r="G131" s="19">
        <v>12</v>
      </c>
      <c r="H131" s="19">
        <v>1</v>
      </c>
      <c r="I131" s="19">
        <v>2</v>
      </c>
      <c r="J131" s="19" t="s">
        <v>872</v>
      </c>
      <c r="K131" s="19" t="s">
        <v>873</v>
      </c>
      <c r="L131" s="19" t="s">
        <v>874</v>
      </c>
      <c r="M131" s="19" t="s">
        <v>875</v>
      </c>
      <c r="N131" s="19" t="s">
        <v>876</v>
      </c>
      <c r="O131" s="19" t="s">
        <v>877</v>
      </c>
      <c r="P131" s="19" t="s">
        <v>878</v>
      </c>
      <c r="Q131" s="19" t="s">
        <v>879</v>
      </c>
      <c r="R131" s="19" t="s">
        <v>880</v>
      </c>
      <c r="S131" s="19" t="s">
        <v>881</v>
      </c>
      <c r="T131" s="19" t="s">
        <v>882</v>
      </c>
      <c r="U131" s="19" t="s">
        <v>883</v>
      </c>
      <c r="V131" s="21" t="s">
        <v>859</v>
      </c>
    </row>
    <row r="132" spans="1:22" ht="16.05" customHeight="1">
      <c r="A132" s="18" t="s">
        <v>846</v>
      </c>
      <c r="B132" s="19" t="s">
        <v>43</v>
      </c>
      <c r="C132" s="19">
        <v>4</v>
      </c>
      <c r="D132" s="19" t="s">
        <v>390</v>
      </c>
      <c r="E132" s="19" t="s">
        <v>391</v>
      </c>
      <c r="F132" s="20" t="s">
        <v>392</v>
      </c>
      <c r="G132" s="19">
        <v>12</v>
      </c>
      <c r="H132" s="19">
        <v>1</v>
      </c>
      <c r="I132" s="19">
        <v>3</v>
      </c>
      <c r="J132" s="19" t="s">
        <v>884</v>
      </c>
      <c r="K132" s="19" t="s">
        <v>885</v>
      </c>
      <c r="L132" s="19" t="s">
        <v>886</v>
      </c>
      <c r="M132" s="19" t="s">
        <v>887</v>
      </c>
      <c r="N132" s="19" t="s">
        <v>888</v>
      </c>
      <c r="O132" s="19" t="s">
        <v>889</v>
      </c>
      <c r="P132" s="19" t="s">
        <v>890</v>
      </c>
      <c r="Q132" s="19" t="s">
        <v>891</v>
      </c>
      <c r="R132" s="19" t="s">
        <v>892</v>
      </c>
      <c r="S132" s="19" t="s">
        <v>893</v>
      </c>
      <c r="T132" s="19" t="s">
        <v>894</v>
      </c>
      <c r="U132" s="19" t="s">
        <v>895</v>
      </c>
      <c r="V132" s="21" t="s">
        <v>859</v>
      </c>
    </row>
    <row r="133" spans="1:22" ht="16.05" customHeight="1">
      <c r="A133" s="18" t="s">
        <v>846</v>
      </c>
      <c r="B133" s="19" t="s">
        <v>43</v>
      </c>
      <c r="C133" s="19">
        <v>5</v>
      </c>
      <c r="D133" s="19" t="s">
        <v>432</v>
      </c>
      <c r="E133" s="19" t="s">
        <v>433</v>
      </c>
      <c r="F133" s="20" t="s">
        <v>434</v>
      </c>
      <c r="G133" s="19">
        <v>12</v>
      </c>
      <c r="H133" s="19">
        <v>1</v>
      </c>
      <c r="I133" s="19">
        <v>4</v>
      </c>
      <c r="J133" s="19" t="s">
        <v>896</v>
      </c>
      <c r="K133" s="19" t="s">
        <v>897</v>
      </c>
      <c r="L133" s="19" t="s">
        <v>898</v>
      </c>
      <c r="M133" s="19" t="s">
        <v>899</v>
      </c>
      <c r="N133" s="19" t="s">
        <v>900</v>
      </c>
      <c r="O133" s="19" t="s">
        <v>901</v>
      </c>
      <c r="P133" s="19" t="s">
        <v>902</v>
      </c>
      <c r="Q133" s="19" t="s">
        <v>903</v>
      </c>
      <c r="R133" s="19" t="s">
        <v>904</v>
      </c>
      <c r="S133" s="19" t="s">
        <v>905</v>
      </c>
      <c r="T133" s="19" t="s">
        <v>906</v>
      </c>
      <c r="U133" s="19" t="s">
        <v>907</v>
      </c>
      <c r="V133" s="21" t="s">
        <v>859</v>
      </c>
    </row>
    <row r="134" spans="1:22" ht="16.05" customHeight="1">
      <c r="A134" s="18" t="s">
        <v>846</v>
      </c>
      <c r="B134" s="19" t="s">
        <v>43</v>
      </c>
      <c r="C134" s="19">
        <v>6</v>
      </c>
      <c r="D134" s="19" t="s">
        <v>474</v>
      </c>
      <c r="E134" s="19" t="s">
        <v>475</v>
      </c>
      <c r="F134" s="20" t="s">
        <v>476</v>
      </c>
      <c r="G134" s="19">
        <v>12</v>
      </c>
      <c r="H134" s="19">
        <v>1</v>
      </c>
      <c r="I134" s="19">
        <v>5</v>
      </c>
      <c r="J134" s="19" t="s">
        <v>908</v>
      </c>
      <c r="K134" s="19" t="s">
        <v>909</v>
      </c>
      <c r="L134" s="19" t="s">
        <v>910</v>
      </c>
      <c r="M134" s="19" t="s">
        <v>911</v>
      </c>
      <c r="N134" s="19" t="s">
        <v>912</v>
      </c>
      <c r="O134" s="19" t="s">
        <v>913</v>
      </c>
      <c r="P134" s="19" t="s">
        <v>914</v>
      </c>
      <c r="Q134" s="19" t="s">
        <v>915</v>
      </c>
      <c r="R134" s="19" t="s">
        <v>916</v>
      </c>
      <c r="S134" s="19" t="s">
        <v>917</v>
      </c>
      <c r="T134" s="19" t="s">
        <v>918</v>
      </c>
      <c r="U134" s="19" t="s">
        <v>919</v>
      </c>
      <c r="V134" s="21" t="s">
        <v>859</v>
      </c>
    </row>
    <row r="135" spans="1:22" ht="16.05" customHeight="1">
      <c r="A135" s="18" t="s">
        <v>846</v>
      </c>
      <c r="B135" s="19" t="s">
        <v>43</v>
      </c>
      <c r="C135" s="19">
        <v>7</v>
      </c>
      <c r="D135" s="19" t="s">
        <v>516</v>
      </c>
      <c r="E135" s="19" t="s">
        <v>517</v>
      </c>
      <c r="F135" s="20" t="s">
        <v>518</v>
      </c>
      <c r="G135" s="19">
        <v>12</v>
      </c>
      <c r="H135" s="19">
        <v>1</v>
      </c>
      <c r="I135" s="19">
        <v>6</v>
      </c>
      <c r="J135" s="19" t="s">
        <v>920</v>
      </c>
      <c r="K135" s="19" t="s">
        <v>921</v>
      </c>
      <c r="L135" s="19" t="s">
        <v>922</v>
      </c>
      <c r="M135" s="19" t="s">
        <v>923</v>
      </c>
      <c r="N135" s="19" t="s">
        <v>924</v>
      </c>
      <c r="O135" s="19" t="s">
        <v>925</v>
      </c>
      <c r="P135" s="19" t="s">
        <v>926</v>
      </c>
      <c r="Q135" s="19" t="s">
        <v>927</v>
      </c>
      <c r="R135" s="19" t="s">
        <v>928</v>
      </c>
      <c r="S135" s="19" t="s">
        <v>929</v>
      </c>
      <c r="T135" s="19" t="s">
        <v>930</v>
      </c>
      <c r="U135" s="19" t="s">
        <v>931</v>
      </c>
      <c r="V135" s="21" t="s">
        <v>859</v>
      </c>
    </row>
    <row r="136" spans="1:22" ht="16.05" customHeight="1">
      <c r="A136" s="18" t="s">
        <v>846</v>
      </c>
      <c r="B136" s="19" t="s">
        <v>43</v>
      </c>
      <c r="C136" s="19">
        <v>8</v>
      </c>
      <c r="D136" s="19" t="s">
        <v>558</v>
      </c>
      <c r="E136" s="19" t="s">
        <v>559</v>
      </c>
      <c r="F136" s="20" t="s">
        <v>560</v>
      </c>
      <c r="G136" s="19">
        <v>12</v>
      </c>
      <c r="H136" s="19">
        <v>1</v>
      </c>
      <c r="I136" s="19">
        <v>7</v>
      </c>
      <c r="J136" s="19" t="s">
        <v>932</v>
      </c>
      <c r="K136" s="19" t="s">
        <v>933</v>
      </c>
      <c r="L136" s="19" t="s">
        <v>934</v>
      </c>
      <c r="M136" s="19" t="s">
        <v>935</v>
      </c>
      <c r="N136" s="19" t="s">
        <v>936</v>
      </c>
      <c r="O136" s="19" t="s">
        <v>937</v>
      </c>
      <c r="P136" s="19" t="s">
        <v>938</v>
      </c>
      <c r="Q136" s="19" t="s">
        <v>939</v>
      </c>
      <c r="R136" s="19" t="s">
        <v>940</v>
      </c>
      <c r="S136" s="19" t="s">
        <v>941</v>
      </c>
      <c r="T136" s="19" t="s">
        <v>942</v>
      </c>
      <c r="U136" s="19" t="s">
        <v>943</v>
      </c>
      <c r="V136" s="21" t="s">
        <v>859</v>
      </c>
    </row>
    <row r="137" spans="1:22" ht="16.05" customHeight="1">
      <c r="A137" s="18" t="s">
        <v>846</v>
      </c>
      <c r="B137" s="19" t="s">
        <v>44</v>
      </c>
      <c r="C137" s="19">
        <v>1</v>
      </c>
      <c r="D137" s="19" t="s">
        <v>267</v>
      </c>
      <c r="E137" s="19" t="s">
        <v>268</v>
      </c>
      <c r="F137" s="20" t="s">
        <v>269</v>
      </c>
      <c r="G137" s="19">
        <v>12</v>
      </c>
      <c r="H137" s="19">
        <v>1</v>
      </c>
      <c r="I137" s="19">
        <v>0</v>
      </c>
      <c r="J137" s="19" t="s">
        <v>847</v>
      </c>
      <c r="K137" s="19" t="s">
        <v>848</v>
      </c>
      <c r="L137" s="19" t="s">
        <v>849</v>
      </c>
      <c r="M137" s="19" t="s">
        <v>850</v>
      </c>
      <c r="N137" s="19" t="s">
        <v>851</v>
      </c>
      <c r="O137" s="19" t="s">
        <v>852</v>
      </c>
      <c r="P137" s="19" t="s">
        <v>853</v>
      </c>
      <c r="Q137" s="19" t="s">
        <v>854</v>
      </c>
      <c r="R137" s="19" t="s">
        <v>855</v>
      </c>
      <c r="S137" s="19" t="s">
        <v>856</v>
      </c>
      <c r="T137" s="19" t="s">
        <v>857</v>
      </c>
      <c r="U137" s="19" t="s">
        <v>858</v>
      </c>
      <c r="V137" s="21" t="s">
        <v>859</v>
      </c>
    </row>
    <row r="138" spans="1:22" ht="16.05" customHeight="1">
      <c r="A138" s="18" t="s">
        <v>846</v>
      </c>
      <c r="B138" s="19" t="s">
        <v>44</v>
      </c>
      <c r="C138" s="19">
        <v>2</v>
      </c>
      <c r="D138" s="19" t="s">
        <v>309</v>
      </c>
      <c r="E138" s="19" t="s">
        <v>310</v>
      </c>
      <c r="F138" s="20" t="s">
        <v>311</v>
      </c>
      <c r="G138" s="19">
        <v>12</v>
      </c>
      <c r="H138" s="19">
        <v>1</v>
      </c>
      <c r="I138" s="19">
        <v>1</v>
      </c>
      <c r="J138" s="19" t="s">
        <v>860</v>
      </c>
      <c r="K138" s="19" t="s">
        <v>861</v>
      </c>
      <c r="L138" s="19" t="s">
        <v>862</v>
      </c>
      <c r="M138" s="19" t="s">
        <v>863</v>
      </c>
      <c r="N138" s="19" t="s">
        <v>864</v>
      </c>
      <c r="O138" s="19" t="s">
        <v>865</v>
      </c>
      <c r="P138" s="19" t="s">
        <v>866</v>
      </c>
      <c r="Q138" s="19" t="s">
        <v>867</v>
      </c>
      <c r="R138" s="19" t="s">
        <v>868</v>
      </c>
      <c r="S138" s="19" t="s">
        <v>869</v>
      </c>
      <c r="T138" s="19" t="s">
        <v>870</v>
      </c>
      <c r="U138" s="19" t="s">
        <v>871</v>
      </c>
      <c r="V138" s="21" t="s">
        <v>859</v>
      </c>
    </row>
    <row r="139" spans="1:22" ht="16.05" customHeight="1">
      <c r="A139" s="18" t="s">
        <v>846</v>
      </c>
      <c r="B139" s="19" t="s">
        <v>44</v>
      </c>
      <c r="C139" s="19">
        <v>3</v>
      </c>
      <c r="D139" s="19" t="s">
        <v>351</v>
      </c>
      <c r="E139" s="19" t="s">
        <v>352</v>
      </c>
      <c r="F139" s="20" t="s">
        <v>353</v>
      </c>
      <c r="G139" s="19">
        <v>12</v>
      </c>
      <c r="H139" s="19">
        <v>1</v>
      </c>
      <c r="I139" s="19">
        <v>2</v>
      </c>
      <c r="J139" s="19" t="s">
        <v>872</v>
      </c>
      <c r="K139" s="19" t="s">
        <v>873</v>
      </c>
      <c r="L139" s="19" t="s">
        <v>874</v>
      </c>
      <c r="M139" s="19" t="s">
        <v>875</v>
      </c>
      <c r="N139" s="19" t="s">
        <v>876</v>
      </c>
      <c r="O139" s="19" t="s">
        <v>877</v>
      </c>
      <c r="P139" s="19" t="s">
        <v>878</v>
      </c>
      <c r="Q139" s="19" t="s">
        <v>879</v>
      </c>
      <c r="R139" s="19" t="s">
        <v>880</v>
      </c>
      <c r="S139" s="19" t="s">
        <v>881</v>
      </c>
      <c r="T139" s="19" t="s">
        <v>882</v>
      </c>
      <c r="U139" s="19" t="s">
        <v>883</v>
      </c>
      <c r="V139" s="21" t="s">
        <v>859</v>
      </c>
    </row>
    <row r="140" spans="1:22" ht="16.05" customHeight="1">
      <c r="A140" s="18" t="s">
        <v>846</v>
      </c>
      <c r="B140" s="19" t="s">
        <v>44</v>
      </c>
      <c r="C140" s="19">
        <v>4</v>
      </c>
      <c r="D140" s="19" t="s">
        <v>393</v>
      </c>
      <c r="E140" s="19" t="s">
        <v>394</v>
      </c>
      <c r="F140" s="20" t="s">
        <v>395</v>
      </c>
      <c r="G140" s="19">
        <v>12</v>
      </c>
      <c r="H140" s="19">
        <v>1</v>
      </c>
      <c r="I140" s="19">
        <v>3</v>
      </c>
      <c r="J140" s="19" t="s">
        <v>884</v>
      </c>
      <c r="K140" s="19" t="s">
        <v>885</v>
      </c>
      <c r="L140" s="19" t="s">
        <v>886</v>
      </c>
      <c r="M140" s="19" t="s">
        <v>887</v>
      </c>
      <c r="N140" s="19" t="s">
        <v>888</v>
      </c>
      <c r="O140" s="19" t="s">
        <v>889</v>
      </c>
      <c r="P140" s="19" t="s">
        <v>890</v>
      </c>
      <c r="Q140" s="19" t="s">
        <v>891</v>
      </c>
      <c r="R140" s="19" t="s">
        <v>892</v>
      </c>
      <c r="S140" s="19" t="s">
        <v>893</v>
      </c>
      <c r="T140" s="19" t="s">
        <v>894</v>
      </c>
      <c r="U140" s="19" t="s">
        <v>895</v>
      </c>
      <c r="V140" s="21" t="s">
        <v>859</v>
      </c>
    </row>
    <row r="141" spans="1:22" ht="16.05" customHeight="1">
      <c r="A141" s="18" t="s">
        <v>846</v>
      </c>
      <c r="B141" s="19" t="s">
        <v>44</v>
      </c>
      <c r="C141" s="19">
        <v>5</v>
      </c>
      <c r="D141" s="19" t="s">
        <v>435</v>
      </c>
      <c r="E141" s="19" t="s">
        <v>436</v>
      </c>
      <c r="F141" s="20" t="s">
        <v>437</v>
      </c>
      <c r="G141" s="19">
        <v>12</v>
      </c>
      <c r="H141" s="19">
        <v>1</v>
      </c>
      <c r="I141" s="19">
        <v>4</v>
      </c>
      <c r="J141" s="19" t="s">
        <v>896</v>
      </c>
      <c r="K141" s="19" t="s">
        <v>897</v>
      </c>
      <c r="L141" s="19" t="s">
        <v>898</v>
      </c>
      <c r="M141" s="19" t="s">
        <v>899</v>
      </c>
      <c r="N141" s="19" t="s">
        <v>900</v>
      </c>
      <c r="O141" s="19" t="s">
        <v>901</v>
      </c>
      <c r="P141" s="19" t="s">
        <v>902</v>
      </c>
      <c r="Q141" s="19" t="s">
        <v>903</v>
      </c>
      <c r="R141" s="19" t="s">
        <v>904</v>
      </c>
      <c r="S141" s="19" t="s">
        <v>905</v>
      </c>
      <c r="T141" s="19" t="s">
        <v>906</v>
      </c>
      <c r="U141" s="19" t="s">
        <v>907</v>
      </c>
      <c r="V141" s="21" t="s">
        <v>859</v>
      </c>
    </row>
    <row r="142" spans="1:22" ht="16.05" customHeight="1">
      <c r="A142" s="18" t="s">
        <v>846</v>
      </c>
      <c r="B142" s="19" t="s">
        <v>44</v>
      </c>
      <c r="C142" s="19">
        <v>6</v>
      </c>
      <c r="D142" s="19" t="s">
        <v>477</v>
      </c>
      <c r="E142" s="19" t="s">
        <v>478</v>
      </c>
      <c r="F142" s="20" t="s">
        <v>479</v>
      </c>
      <c r="G142" s="19">
        <v>12</v>
      </c>
      <c r="H142" s="19">
        <v>1</v>
      </c>
      <c r="I142" s="19">
        <v>5</v>
      </c>
      <c r="J142" s="19" t="s">
        <v>908</v>
      </c>
      <c r="K142" s="19" t="s">
        <v>909</v>
      </c>
      <c r="L142" s="19" t="s">
        <v>910</v>
      </c>
      <c r="M142" s="19" t="s">
        <v>911</v>
      </c>
      <c r="N142" s="19" t="s">
        <v>912</v>
      </c>
      <c r="O142" s="19" t="s">
        <v>913</v>
      </c>
      <c r="P142" s="19" t="s">
        <v>914</v>
      </c>
      <c r="Q142" s="19" t="s">
        <v>915</v>
      </c>
      <c r="R142" s="19" t="s">
        <v>916</v>
      </c>
      <c r="S142" s="19" t="s">
        <v>917</v>
      </c>
      <c r="T142" s="19" t="s">
        <v>918</v>
      </c>
      <c r="U142" s="19" t="s">
        <v>919</v>
      </c>
      <c r="V142" s="21" t="s">
        <v>859</v>
      </c>
    </row>
    <row r="143" spans="1:22" ht="16.05" customHeight="1">
      <c r="A143" s="18" t="s">
        <v>846</v>
      </c>
      <c r="B143" s="19" t="s">
        <v>44</v>
      </c>
      <c r="C143" s="19">
        <v>7</v>
      </c>
      <c r="D143" s="19" t="s">
        <v>519</v>
      </c>
      <c r="E143" s="19" t="s">
        <v>520</v>
      </c>
      <c r="F143" s="20" t="s">
        <v>521</v>
      </c>
      <c r="G143" s="19">
        <v>12</v>
      </c>
      <c r="H143" s="19">
        <v>1</v>
      </c>
      <c r="I143" s="19">
        <v>6</v>
      </c>
      <c r="J143" s="19" t="s">
        <v>920</v>
      </c>
      <c r="K143" s="19" t="s">
        <v>921</v>
      </c>
      <c r="L143" s="19" t="s">
        <v>922</v>
      </c>
      <c r="M143" s="19" t="s">
        <v>923</v>
      </c>
      <c r="N143" s="19" t="s">
        <v>924</v>
      </c>
      <c r="O143" s="19" t="s">
        <v>925</v>
      </c>
      <c r="P143" s="19" t="s">
        <v>926</v>
      </c>
      <c r="Q143" s="19" t="s">
        <v>927</v>
      </c>
      <c r="R143" s="19" t="s">
        <v>928</v>
      </c>
      <c r="S143" s="19" t="s">
        <v>929</v>
      </c>
      <c r="T143" s="19" t="s">
        <v>930</v>
      </c>
      <c r="U143" s="19" t="s">
        <v>931</v>
      </c>
      <c r="V143" s="21" t="s">
        <v>859</v>
      </c>
    </row>
    <row r="144" spans="1:22" ht="16.05" customHeight="1">
      <c r="A144" s="18" t="s">
        <v>846</v>
      </c>
      <c r="B144" s="19" t="s">
        <v>44</v>
      </c>
      <c r="C144" s="19">
        <v>8</v>
      </c>
      <c r="D144" s="19" t="s">
        <v>561</v>
      </c>
      <c r="E144" s="19" t="s">
        <v>562</v>
      </c>
      <c r="F144" s="20" t="s">
        <v>563</v>
      </c>
      <c r="G144" s="19">
        <v>12</v>
      </c>
      <c r="H144" s="19">
        <v>1</v>
      </c>
      <c r="I144" s="19">
        <v>7</v>
      </c>
      <c r="J144" s="19" t="s">
        <v>932</v>
      </c>
      <c r="K144" s="19" t="s">
        <v>933</v>
      </c>
      <c r="L144" s="19" t="s">
        <v>934</v>
      </c>
      <c r="M144" s="19" t="s">
        <v>935</v>
      </c>
      <c r="N144" s="19" t="s">
        <v>936</v>
      </c>
      <c r="O144" s="19" t="s">
        <v>937</v>
      </c>
      <c r="P144" s="19" t="s">
        <v>938</v>
      </c>
      <c r="Q144" s="19" t="s">
        <v>939</v>
      </c>
      <c r="R144" s="19" t="s">
        <v>940</v>
      </c>
      <c r="S144" s="19" t="s">
        <v>941</v>
      </c>
      <c r="T144" s="19" t="s">
        <v>942</v>
      </c>
      <c r="U144" s="19" t="s">
        <v>943</v>
      </c>
      <c r="V144" s="21" t="s">
        <v>859</v>
      </c>
    </row>
    <row r="145" spans="1:22" ht="16.05" customHeight="1">
      <c r="A145" s="18" t="s">
        <v>846</v>
      </c>
      <c r="B145" s="19" t="s">
        <v>45</v>
      </c>
      <c r="C145" s="19">
        <v>1</v>
      </c>
      <c r="D145" s="19" t="s">
        <v>270</v>
      </c>
      <c r="E145" s="19" t="s">
        <v>271</v>
      </c>
      <c r="F145" s="20" t="s">
        <v>272</v>
      </c>
      <c r="G145" s="19">
        <v>12</v>
      </c>
      <c r="H145" s="19">
        <v>1</v>
      </c>
      <c r="I145" s="19">
        <v>0</v>
      </c>
      <c r="J145" s="19" t="s">
        <v>847</v>
      </c>
      <c r="K145" s="19" t="s">
        <v>848</v>
      </c>
      <c r="L145" s="19" t="s">
        <v>849</v>
      </c>
      <c r="M145" s="19" t="s">
        <v>850</v>
      </c>
      <c r="N145" s="19" t="s">
        <v>851</v>
      </c>
      <c r="O145" s="19" t="s">
        <v>852</v>
      </c>
      <c r="P145" s="19" t="s">
        <v>853</v>
      </c>
      <c r="Q145" s="19" t="s">
        <v>854</v>
      </c>
      <c r="R145" s="19" t="s">
        <v>855</v>
      </c>
      <c r="S145" s="19" t="s">
        <v>856</v>
      </c>
      <c r="T145" s="19" t="s">
        <v>857</v>
      </c>
      <c r="U145" s="19" t="s">
        <v>858</v>
      </c>
      <c r="V145" s="21" t="s">
        <v>859</v>
      </c>
    </row>
    <row r="146" spans="1:22" ht="16.05" customHeight="1">
      <c r="A146" s="18" t="s">
        <v>846</v>
      </c>
      <c r="B146" s="19" t="s">
        <v>45</v>
      </c>
      <c r="C146" s="19">
        <v>2</v>
      </c>
      <c r="D146" s="19" t="s">
        <v>312</v>
      </c>
      <c r="E146" s="19" t="s">
        <v>313</v>
      </c>
      <c r="F146" s="20" t="s">
        <v>314</v>
      </c>
      <c r="G146" s="19">
        <v>12</v>
      </c>
      <c r="H146" s="19">
        <v>1</v>
      </c>
      <c r="I146" s="19">
        <v>1</v>
      </c>
      <c r="J146" s="19" t="s">
        <v>860</v>
      </c>
      <c r="K146" s="19" t="s">
        <v>861</v>
      </c>
      <c r="L146" s="19" t="s">
        <v>862</v>
      </c>
      <c r="M146" s="19" t="s">
        <v>863</v>
      </c>
      <c r="N146" s="19" t="s">
        <v>864</v>
      </c>
      <c r="O146" s="19" t="s">
        <v>865</v>
      </c>
      <c r="P146" s="19" t="s">
        <v>866</v>
      </c>
      <c r="Q146" s="19" t="s">
        <v>867</v>
      </c>
      <c r="R146" s="19" t="s">
        <v>868</v>
      </c>
      <c r="S146" s="19" t="s">
        <v>869</v>
      </c>
      <c r="T146" s="19" t="s">
        <v>870</v>
      </c>
      <c r="U146" s="19" t="s">
        <v>871</v>
      </c>
      <c r="V146" s="21" t="s">
        <v>859</v>
      </c>
    </row>
    <row r="147" spans="1:22" ht="16.05" customHeight="1">
      <c r="A147" s="18" t="s">
        <v>846</v>
      </c>
      <c r="B147" s="19" t="s">
        <v>45</v>
      </c>
      <c r="C147" s="19">
        <v>3</v>
      </c>
      <c r="D147" s="19" t="s">
        <v>354</v>
      </c>
      <c r="E147" s="19" t="s">
        <v>355</v>
      </c>
      <c r="F147" s="20" t="s">
        <v>356</v>
      </c>
      <c r="G147" s="19">
        <v>12</v>
      </c>
      <c r="H147" s="19">
        <v>1</v>
      </c>
      <c r="I147" s="19">
        <v>2</v>
      </c>
      <c r="J147" s="19" t="s">
        <v>872</v>
      </c>
      <c r="K147" s="19" t="s">
        <v>873</v>
      </c>
      <c r="L147" s="19" t="s">
        <v>874</v>
      </c>
      <c r="M147" s="19" t="s">
        <v>875</v>
      </c>
      <c r="N147" s="19" t="s">
        <v>876</v>
      </c>
      <c r="O147" s="19" t="s">
        <v>877</v>
      </c>
      <c r="P147" s="19" t="s">
        <v>878</v>
      </c>
      <c r="Q147" s="19" t="s">
        <v>879</v>
      </c>
      <c r="R147" s="19" t="s">
        <v>880</v>
      </c>
      <c r="S147" s="19" t="s">
        <v>881</v>
      </c>
      <c r="T147" s="19" t="s">
        <v>882</v>
      </c>
      <c r="U147" s="19" t="s">
        <v>883</v>
      </c>
      <c r="V147" s="21" t="s">
        <v>859</v>
      </c>
    </row>
    <row r="148" spans="1:22" ht="16.05" customHeight="1">
      <c r="A148" s="18" t="s">
        <v>846</v>
      </c>
      <c r="B148" s="19" t="s">
        <v>45</v>
      </c>
      <c r="C148" s="19">
        <v>4</v>
      </c>
      <c r="D148" s="19" t="s">
        <v>396</v>
      </c>
      <c r="E148" s="19" t="s">
        <v>397</v>
      </c>
      <c r="F148" s="20" t="s">
        <v>398</v>
      </c>
      <c r="G148" s="19">
        <v>12</v>
      </c>
      <c r="H148" s="19">
        <v>1</v>
      </c>
      <c r="I148" s="19">
        <v>3</v>
      </c>
      <c r="J148" s="19" t="s">
        <v>884</v>
      </c>
      <c r="K148" s="19" t="s">
        <v>885</v>
      </c>
      <c r="L148" s="19" t="s">
        <v>886</v>
      </c>
      <c r="M148" s="19" t="s">
        <v>887</v>
      </c>
      <c r="N148" s="19" t="s">
        <v>888</v>
      </c>
      <c r="O148" s="19" t="s">
        <v>889</v>
      </c>
      <c r="P148" s="19" t="s">
        <v>890</v>
      </c>
      <c r="Q148" s="19" t="s">
        <v>891</v>
      </c>
      <c r="R148" s="19" t="s">
        <v>892</v>
      </c>
      <c r="S148" s="19" t="s">
        <v>893</v>
      </c>
      <c r="T148" s="19" t="s">
        <v>894</v>
      </c>
      <c r="U148" s="19" t="s">
        <v>895</v>
      </c>
      <c r="V148" s="21" t="s">
        <v>859</v>
      </c>
    </row>
    <row r="149" spans="1:22" ht="16.05" customHeight="1">
      <c r="A149" s="18" t="s">
        <v>846</v>
      </c>
      <c r="B149" s="19" t="s">
        <v>45</v>
      </c>
      <c r="C149" s="19">
        <v>5</v>
      </c>
      <c r="D149" s="19" t="s">
        <v>438</v>
      </c>
      <c r="E149" s="19" t="s">
        <v>439</v>
      </c>
      <c r="F149" s="20" t="s">
        <v>440</v>
      </c>
      <c r="G149" s="19">
        <v>12</v>
      </c>
      <c r="H149" s="19">
        <v>1</v>
      </c>
      <c r="I149" s="19">
        <v>4</v>
      </c>
      <c r="J149" s="19" t="s">
        <v>896</v>
      </c>
      <c r="K149" s="19" t="s">
        <v>897</v>
      </c>
      <c r="L149" s="19" t="s">
        <v>898</v>
      </c>
      <c r="M149" s="19" t="s">
        <v>899</v>
      </c>
      <c r="N149" s="19" t="s">
        <v>900</v>
      </c>
      <c r="O149" s="19" t="s">
        <v>901</v>
      </c>
      <c r="P149" s="19" t="s">
        <v>902</v>
      </c>
      <c r="Q149" s="19" t="s">
        <v>903</v>
      </c>
      <c r="R149" s="19" t="s">
        <v>904</v>
      </c>
      <c r="S149" s="19" t="s">
        <v>905</v>
      </c>
      <c r="T149" s="19" t="s">
        <v>906</v>
      </c>
      <c r="U149" s="19" t="s">
        <v>907</v>
      </c>
      <c r="V149" s="21" t="s">
        <v>859</v>
      </c>
    </row>
    <row r="150" spans="1:22" ht="16.05" customHeight="1">
      <c r="A150" s="18" t="s">
        <v>846</v>
      </c>
      <c r="B150" s="19" t="s">
        <v>45</v>
      </c>
      <c r="C150" s="19">
        <v>6</v>
      </c>
      <c r="D150" s="19" t="s">
        <v>480</v>
      </c>
      <c r="E150" s="19" t="s">
        <v>481</v>
      </c>
      <c r="F150" s="20" t="s">
        <v>482</v>
      </c>
      <c r="G150" s="19">
        <v>12</v>
      </c>
      <c r="H150" s="19">
        <v>1</v>
      </c>
      <c r="I150" s="19">
        <v>5</v>
      </c>
      <c r="J150" s="19" t="s">
        <v>908</v>
      </c>
      <c r="K150" s="19" t="s">
        <v>909</v>
      </c>
      <c r="L150" s="19" t="s">
        <v>910</v>
      </c>
      <c r="M150" s="19" t="s">
        <v>911</v>
      </c>
      <c r="N150" s="19" t="s">
        <v>912</v>
      </c>
      <c r="O150" s="19" t="s">
        <v>913</v>
      </c>
      <c r="P150" s="19" t="s">
        <v>914</v>
      </c>
      <c r="Q150" s="19" t="s">
        <v>915</v>
      </c>
      <c r="R150" s="19" t="s">
        <v>916</v>
      </c>
      <c r="S150" s="19" t="s">
        <v>917</v>
      </c>
      <c r="T150" s="19" t="s">
        <v>918</v>
      </c>
      <c r="U150" s="19" t="s">
        <v>919</v>
      </c>
      <c r="V150" s="21" t="s">
        <v>859</v>
      </c>
    </row>
    <row r="151" spans="1:22" ht="16.05" customHeight="1">
      <c r="A151" s="18" t="s">
        <v>846</v>
      </c>
      <c r="B151" s="19" t="s">
        <v>45</v>
      </c>
      <c r="C151" s="19">
        <v>7</v>
      </c>
      <c r="D151" s="19" t="s">
        <v>522</v>
      </c>
      <c r="E151" s="19" t="s">
        <v>523</v>
      </c>
      <c r="F151" s="20" t="s">
        <v>524</v>
      </c>
      <c r="G151" s="19">
        <v>12</v>
      </c>
      <c r="H151" s="19">
        <v>1</v>
      </c>
      <c r="I151" s="19">
        <v>6</v>
      </c>
      <c r="J151" s="19" t="s">
        <v>920</v>
      </c>
      <c r="K151" s="19" t="s">
        <v>921</v>
      </c>
      <c r="L151" s="19" t="s">
        <v>922</v>
      </c>
      <c r="M151" s="19" t="s">
        <v>923</v>
      </c>
      <c r="N151" s="19" t="s">
        <v>924</v>
      </c>
      <c r="O151" s="19" t="s">
        <v>925</v>
      </c>
      <c r="P151" s="19" t="s">
        <v>926</v>
      </c>
      <c r="Q151" s="19" t="s">
        <v>927</v>
      </c>
      <c r="R151" s="19" t="s">
        <v>928</v>
      </c>
      <c r="S151" s="19" t="s">
        <v>929</v>
      </c>
      <c r="T151" s="19" t="s">
        <v>930</v>
      </c>
      <c r="U151" s="19" t="s">
        <v>931</v>
      </c>
      <c r="V151" s="21" t="s">
        <v>859</v>
      </c>
    </row>
    <row r="152" spans="1:22" ht="16.05" customHeight="1">
      <c r="A152" s="18" t="s">
        <v>846</v>
      </c>
      <c r="B152" s="19" t="s">
        <v>45</v>
      </c>
      <c r="C152" s="19">
        <v>8</v>
      </c>
      <c r="D152" s="19" t="s">
        <v>564</v>
      </c>
      <c r="E152" s="19" t="s">
        <v>565</v>
      </c>
      <c r="F152" s="20" t="s">
        <v>566</v>
      </c>
      <c r="G152" s="19">
        <v>12</v>
      </c>
      <c r="H152" s="19">
        <v>1</v>
      </c>
      <c r="I152" s="19">
        <v>7</v>
      </c>
      <c r="J152" s="19" t="s">
        <v>932</v>
      </c>
      <c r="K152" s="19" t="s">
        <v>933</v>
      </c>
      <c r="L152" s="19" t="s">
        <v>934</v>
      </c>
      <c r="M152" s="19" t="s">
        <v>935</v>
      </c>
      <c r="N152" s="19" t="s">
        <v>936</v>
      </c>
      <c r="O152" s="19" t="s">
        <v>937</v>
      </c>
      <c r="P152" s="19" t="s">
        <v>938</v>
      </c>
      <c r="Q152" s="19" t="s">
        <v>939</v>
      </c>
      <c r="R152" s="19" t="s">
        <v>940</v>
      </c>
      <c r="S152" s="19" t="s">
        <v>941</v>
      </c>
      <c r="T152" s="19" t="s">
        <v>942</v>
      </c>
      <c r="U152" s="19" t="s">
        <v>943</v>
      </c>
      <c r="V152" s="21" t="s">
        <v>859</v>
      </c>
    </row>
    <row r="153" spans="1:22" ht="16.05" customHeight="1">
      <c r="A153" s="18" t="s">
        <v>846</v>
      </c>
      <c r="B153" s="19" t="s">
        <v>45</v>
      </c>
      <c r="C153" s="19">
        <v>9</v>
      </c>
      <c r="D153" s="19" t="s">
        <v>600</v>
      </c>
      <c r="E153" s="19" t="s">
        <v>601</v>
      </c>
      <c r="F153" s="20" t="s">
        <v>602</v>
      </c>
      <c r="G153" s="19">
        <v>12</v>
      </c>
      <c r="H153" s="19">
        <v>1</v>
      </c>
      <c r="I153" s="19">
        <v>8</v>
      </c>
      <c r="J153" s="19" t="s">
        <v>944</v>
      </c>
      <c r="K153" s="19" t="s">
        <v>945</v>
      </c>
      <c r="L153" s="19" t="s">
        <v>946</v>
      </c>
      <c r="M153" s="19" t="s">
        <v>947</v>
      </c>
      <c r="N153" s="19" t="s">
        <v>948</v>
      </c>
      <c r="O153" s="19" t="s">
        <v>949</v>
      </c>
      <c r="P153" s="19" t="s">
        <v>950</v>
      </c>
      <c r="Q153" s="19" t="s">
        <v>951</v>
      </c>
      <c r="R153" s="19" t="s">
        <v>952</v>
      </c>
      <c r="S153" s="19" t="s">
        <v>953</v>
      </c>
      <c r="T153" s="19" t="s">
        <v>954</v>
      </c>
      <c r="U153" s="19" t="s">
        <v>955</v>
      </c>
      <c r="V153" s="21" t="s">
        <v>859</v>
      </c>
    </row>
    <row r="154" spans="1:22" ht="16.05" customHeight="1">
      <c r="A154" s="18" t="s">
        <v>846</v>
      </c>
      <c r="B154" s="19" t="s">
        <v>45</v>
      </c>
      <c r="C154" s="19">
        <v>10</v>
      </c>
      <c r="D154" s="19" t="s">
        <v>636</v>
      </c>
      <c r="E154" s="19" t="s">
        <v>637</v>
      </c>
      <c r="F154" s="20" t="s">
        <v>638</v>
      </c>
      <c r="G154" s="19">
        <v>12</v>
      </c>
      <c r="H154" s="19">
        <v>1</v>
      </c>
      <c r="I154" s="19">
        <v>9</v>
      </c>
      <c r="J154" s="19" t="s">
        <v>956</v>
      </c>
      <c r="K154" s="19" t="s">
        <v>957</v>
      </c>
      <c r="L154" s="19" t="s">
        <v>958</v>
      </c>
      <c r="M154" s="19" t="s">
        <v>959</v>
      </c>
      <c r="N154" s="19" t="s">
        <v>960</v>
      </c>
      <c r="O154" s="19" t="s">
        <v>961</v>
      </c>
      <c r="P154" s="19" t="s">
        <v>962</v>
      </c>
      <c r="Q154" s="19" t="s">
        <v>963</v>
      </c>
      <c r="R154" s="19" t="s">
        <v>964</v>
      </c>
      <c r="S154" s="19" t="s">
        <v>965</v>
      </c>
      <c r="T154" s="19" t="s">
        <v>966</v>
      </c>
      <c r="U154" s="19" t="s">
        <v>967</v>
      </c>
      <c r="V154" s="21" t="s">
        <v>859</v>
      </c>
    </row>
    <row r="155" spans="1:22" ht="16.05" customHeight="1">
      <c r="A155" s="18" t="s">
        <v>846</v>
      </c>
      <c r="B155" s="19" t="s">
        <v>45</v>
      </c>
      <c r="C155" s="19">
        <v>11</v>
      </c>
      <c r="D155" s="19" t="s">
        <v>663</v>
      </c>
      <c r="E155" s="19" t="s">
        <v>664</v>
      </c>
      <c r="F155" s="20" t="s">
        <v>665</v>
      </c>
      <c r="G155" s="19">
        <v>12</v>
      </c>
      <c r="H155" s="19">
        <v>1</v>
      </c>
      <c r="I155" s="19">
        <v>10</v>
      </c>
      <c r="J155" s="19" t="s">
        <v>968</v>
      </c>
      <c r="K155" s="19" t="s">
        <v>969</v>
      </c>
      <c r="L155" s="19" t="s">
        <v>970</v>
      </c>
      <c r="M155" s="19" t="s">
        <v>971</v>
      </c>
      <c r="N155" s="19" t="s">
        <v>972</v>
      </c>
      <c r="O155" s="19" t="s">
        <v>973</v>
      </c>
      <c r="P155" s="19" t="s">
        <v>974</v>
      </c>
      <c r="Q155" s="19" t="s">
        <v>975</v>
      </c>
      <c r="R155" s="19" t="s">
        <v>976</v>
      </c>
      <c r="S155" s="19" t="s">
        <v>977</v>
      </c>
      <c r="T155" s="19" t="s">
        <v>978</v>
      </c>
      <c r="U155" s="19" t="s">
        <v>979</v>
      </c>
      <c r="V155" s="21" t="s">
        <v>859</v>
      </c>
    </row>
    <row r="156" spans="1:22" ht="16.05" customHeight="1">
      <c r="A156" s="18" t="s">
        <v>846</v>
      </c>
      <c r="B156" s="19" t="s">
        <v>45</v>
      </c>
      <c r="C156" s="19">
        <v>12</v>
      </c>
      <c r="D156" s="19" t="s">
        <v>681</v>
      </c>
      <c r="E156" s="19" t="s">
        <v>682</v>
      </c>
      <c r="F156" s="20" t="s">
        <v>683</v>
      </c>
      <c r="G156" s="19">
        <v>12</v>
      </c>
      <c r="H156" s="19">
        <v>1</v>
      </c>
      <c r="I156" s="19">
        <v>11</v>
      </c>
      <c r="J156" s="19" t="s">
        <v>980</v>
      </c>
      <c r="K156" s="19" t="s">
        <v>981</v>
      </c>
      <c r="L156" s="19" t="s">
        <v>982</v>
      </c>
      <c r="M156" s="19" t="s">
        <v>983</v>
      </c>
      <c r="N156" s="19" t="s">
        <v>984</v>
      </c>
      <c r="O156" s="19" t="s">
        <v>985</v>
      </c>
      <c r="P156" s="19" t="s">
        <v>986</v>
      </c>
      <c r="Q156" s="19" t="s">
        <v>987</v>
      </c>
      <c r="R156" s="19" t="s">
        <v>988</v>
      </c>
      <c r="S156" s="19" t="s">
        <v>989</v>
      </c>
      <c r="T156" s="19" t="s">
        <v>990</v>
      </c>
      <c r="U156" s="19" t="s">
        <v>991</v>
      </c>
      <c r="V156" s="21" t="s">
        <v>859</v>
      </c>
    </row>
    <row r="157" spans="1:22" ht="16.05" customHeight="1">
      <c r="A157" s="18" t="s">
        <v>846</v>
      </c>
      <c r="B157" s="19" t="s">
        <v>45</v>
      </c>
      <c r="C157" s="19">
        <v>13</v>
      </c>
      <c r="D157" s="19" t="s">
        <v>696</v>
      </c>
      <c r="E157" s="19" t="s">
        <v>697</v>
      </c>
      <c r="F157" s="20" t="s">
        <v>698</v>
      </c>
      <c r="G157" s="19">
        <v>12</v>
      </c>
      <c r="H157" s="19">
        <v>1</v>
      </c>
      <c r="I157" s="19">
        <v>12</v>
      </c>
      <c r="J157" s="19" t="s">
        <v>992</v>
      </c>
      <c r="K157" s="19" t="s">
        <v>993</v>
      </c>
      <c r="L157" s="19" t="s">
        <v>994</v>
      </c>
      <c r="M157" s="19" t="s">
        <v>995</v>
      </c>
      <c r="N157" s="19" t="s">
        <v>996</v>
      </c>
      <c r="O157" s="19" t="s">
        <v>997</v>
      </c>
      <c r="P157" s="19" t="s">
        <v>998</v>
      </c>
      <c r="Q157" s="19" t="s">
        <v>999</v>
      </c>
      <c r="R157" s="19" t="s">
        <v>1000</v>
      </c>
      <c r="S157" s="19" t="s">
        <v>1001</v>
      </c>
      <c r="T157" s="19" t="s">
        <v>1002</v>
      </c>
      <c r="U157" s="19" t="s">
        <v>1003</v>
      </c>
      <c r="V157" s="21" t="s">
        <v>859</v>
      </c>
    </row>
    <row r="158" spans="1:22" ht="16.05" customHeight="1">
      <c r="A158" s="18" t="s">
        <v>846</v>
      </c>
      <c r="B158" s="19" t="s">
        <v>46</v>
      </c>
      <c r="C158" s="19">
        <v>1</v>
      </c>
      <c r="D158" s="19" t="s">
        <v>273</v>
      </c>
      <c r="E158" s="19" t="s">
        <v>274</v>
      </c>
      <c r="F158" s="20" t="s">
        <v>275</v>
      </c>
      <c r="G158" s="19">
        <v>12</v>
      </c>
      <c r="H158" s="19">
        <v>1</v>
      </c>
      <c r="I158" s="19">
        <v>0</v>
      </c>
      <c r="J158" s="19" t="s">
        <v>847</v>
      </c>
      <c r="K158" s="19" t="s">
        <v>848</v>
      </c>
      <c r="L158" s="19" t="s">
        <v>849</v>
      </c>
      <c r="M158" s="19" t="s">
        <v>850</v>
      </c>
      <c r="N158" s="19" t="s">
        <v>851</v>
      </c>
      <c r="O158" s="19" t="s">
        <v>852</v>
      </c>
      <c r="P158" s="19" t="s">
        <v>853</v>
      </c>
      <c r="Q158" s="19" t="s">
        <v>854</v>
      </c>
      <c r="R158" s="19" t="s">
        <v>855</v>
      </c>
      <c r="S158" s="19" t="s">
        <v>856</v>
      </c>
      <c r="T158" s="19" t="s">
        <v>857</v>
      </c>
      <c r="U158" s="19" t="s">
        <v>858</v>
      </c>
      <c r="V158" s="21" t="s">
        <v>859</v>
      </c>
    </row>
    <row r="159" spans="1:22" ht="16.05" customHeight="1">
      <c r="A159" s="18" t="s">
        <v>846</v>
      </c>
      <c r="B159" s="19" t="s">
        <v>46</v>
      </c>
      <c r="C159" s="19">
        <v>2</v>
      </c>
      <c r="D159" s="19" t="s">
        <v>315</v>
      </c>
      <c r="E159" s="19" t="s">
        <v>316</v>
      </c>
      <c r="F159" s="20" t="s">
        <v>317</v>
      </c>
      <c r="G159" s="19">
        <v>12</v>
      </c>
      <c r="H159" s="19">
        <v>1</v>
      </c>
      <c r="I159" s="19">
        <v>1</v>
      </c>
      <c r="J159" s="19" t="s">
        <v>860</v>
      </c>
      <c r="K159" s="19" t="s">
        <v>861</v>
      </c>
      <c r="L159" s="19" t="s">
        <v>862</v>
      </c>
      <c r="M159" s="19" t="s">
        <v>863</v>
      </c>
      <c r="N159" s="19" t="s">
        <v>864</v>
      </c>
      <c r="O159" s="19" t="s">
        <v>865</v>
      </c>
      <c r="P159" s="19" t="s">
        <v>866</v>
      </c>
      <c r="Q159" s="19" t="s">
        <v>867</v>
      </c>
      <c r="R159" s="19" t="s">
        <v>868</v>
      </c>
      <c r="S159" s="19" t="s">
        <v>869</v>
      </c>
      <c r="T159" s="19" t="s">
        <v>870</v>
      </c>
      <c r="U159" s="19" t="s">
        <v>871</v>
      </c>
      <c r="V159" s="21" t="s">
        <v>859</v>
      </c>
    </row>
    <row r="160" spans="1:22" ht="16.05" customHeight="1">
      <c r="A160" s="18" t="s">
        <v>846</v>
      </c>
      <c r="B160" s="19" t="s">
        <v>46</v>
      </c>
      <c r="C160" s="19">
        <v>3</v>
      </c>
      <c r="D160" s="19" t="s">
        <v>357</v>
      </c>
      <c r="E160" s="19" t="s">
        <v>358</v>
      </c>
      <c r="F160" s="20" t="s">
        <v>359</v>
      </c>
      <c r="G160" s="19">
        <v>12</v>
      </c>
      <c r="H160" s="19">
        <v>1</v>
      </c>
      <c r="I160" s="19">
        <v>2</v>
      </c>
      <c r="J160" s="19" t="s">
        <v>872</v>
      </c>
      <c r="K160" s="19" t="s">
        <v>873</v>
      </c>
      <c r="L160" s="19" t="s">
        <v>874</v>
      </c>
      <c r="M160" s="19" t="s">
        <v>875</v>
      </c>
      <c r="N160" s="19" t="s">
        <v>876</v>
      </c>
      <c r="O160" s="19" t="s">
        <v>877</v>
      </c>
      <c r="P160" s="19" t="s">
        <v>878</v>
      </c>
      <c r="Q160" s="19" t="s">
        <v>879</v>
      </c>
      <c r="R160" s="19" t="s">
        <v>880</v>
      </c>
      <c r="S160" s="19" t="s">
        <v>881</v>
      </c>
      <c r="T160" s="19" t="s">
        <v>882</v>
      </c>
      <c r="U160" s="19" t="s">
        <v>883</v>
      </c>
      <c r="V160" s="21" t="s">
        <v>859</v>
      </c>
    </row>
    <row r="161" spans="1:22" ht="16.05" customHeight="1">
      <c r="A161" s="18" t="s">
        <v>846</v>
      </c>
      <c r="B161" s="19" t="s">
        <v>46</v>
      </c>
      <c r="C161" s="19">
        <v>4</v>
      </c>
      <c r="D161" s="19" t="s">
        <v>399</v>
      </c>
      <c r="E161" s="19" t="s">
        <v>400</v>
      </c>
      <c r="F161" s="20" t="s">
        <v>401</v>
      </c>
      <c r="G161" s="19">
        <v>12</v>
      </c>
      <c r="H161" s="19">
        <v>1</v>
      </c>
      <c r="I161" s="19">
        <v>3</v>
      </c>
      <c r="J161" s="19" t="s">
        <v>884</v>
      </c>
      <c r="K161" s="19" t="s">
        <v>885</v>
      </c>
      <c r="L161" s="19" t="s">
        <v>886</v>
      </c>
      <c r="M161" s="19" t="s">
        <v>887</v>
      </c>
      <c r="N161" s="19" t="s">
        <v>888</v>
      </c>
      <c r="O161" s="19" t="s">
        <v>889</v>
      </c>
      <c r="P161" s="19" t="s">
        <v>890</v>
      </c>
      <c r="Q161" s="19" t="s">
        <v>891</v>
      </c>
      <c r="R161" s="19" t="s">
        <v>892</v>
      </c>
      <c r="S161" s="19" t="s">
        <v>893</v>
      </c>
      <c r="T161" s="19" t="s">
        <v>894</v>
      </c>
      <c r="U161" s="19" t="s">
        <v>895</v>
      </c>
      <c r="V161" s="21" t="s">
        <v>859</v>
      </c>
    </row>
    <row r="162" spans="1:22" ht="16.05" customHeight="1">
      <c r="A162" s="18" t="s">
        <v>846</v>
      </c>
      <c r="B162" s="19" t="s">
        <v>46</v>
      </c>
      <c r="C162" s="19">
        <v>5</v>
      </c>
      <c r="D162" s="19" t="s">
        <v>441</v>
      </c>
      <c r="E162" s="19" t="s">
        <v>442</v>
      </c>
      <c r="F162" s="20" t="s">
        <v>443</v>
      </c>
      <c r="G162" s="19">
        <v>12</v>
      </c>
      <c r="H162" s="19">
        <v>1</v>
      </c>
      <c r="I162" s="19">
        <v>4</v>
      </c>
      <c r="J162" s="19" t="s">
        <v>896</v>
      </c>
      <c r="K162" s="19" t="s">
        <v>897</v>
      </c>
      <c r="L162" s="19" t="s">
        <v>898</v>
      </c>
      <c r="M162" s="19" t="s">
        <v>899</v>
      </c>
      <c r="N162" s="19" t="s">
        <v>900</v>
      </c>
      <c r="O162" s="19" t="s">
        <v>901</v>
      </c>
      <c r="P162" s="19" t="s">
        <v>902</v>
      </c>
      <c r="Q162" s="19" t="s">
        <v>903</v>
      </c>
      <c r="R162" s="19" t="s">
        <v>904</v>
      </c>
      <c r="S162" s="19" t="s">
        <v>905</v>
      </c>
      <c r="T162" s="19" t="s">
        <v>906</v>
      </c>
      <c r="U162" s="19" t="s">
        <v>907</v>
      </c>
      <c r="V162" s="21" t="s">
        <v>859</v>
      </c>
    </row>
    <row r="163" spans="1:22" ht="16.05" customHeight="1">
      <c r="A163" s="18" t="s">
        <v>846</v>
      </c>
      <c r="B163" s="19" t="s">
        <v>46</v>
      </c>
      <c r="C163" s="19">
        <v>6</v>
      </c>
      <c r="D163" s="19" t="s">
        <v>483</v>
      </c>
      <c r="E163" s="19" t="s">
        <v>484</v>
      </c>
      <c r="F163" s="20" t="s">
        <v>485</v>
      </c>
      <c r="G163" s="19">
        <v>12</v>
      </c>
      <c r="H163" s="19">
        <v>1</v>
      </c>
      <c r="I163" s="19">
        <v>5</v>
      </c>
      <c r="J163" s="19" t="s">
        <v>908</v>
      </c>
      <c r="K163" s="19" t="s">
        <v>909</v>
      </c>
      <c r="L163" s="19" t="s">
        <v>910</v>
      </c>
      <c r="M163" s="19" t="s">
        <v>911</v>
      </c>
      <c r="N163" s="19" t="s">
        <v>912</v>
      </c>
      <c r="O163" s="19" t="s">
        <v>913</v>
      </c>
      <c r="P163" s="19" t="s">
        <v>914</v>
      </c>
      <c r="Q163" s="19" t="s">
        <v>915</v>
      </c>
      <c r="R163" s="19" t="s">
        <v>916</v>
      </c>
      <c r="S163" s="19" t="s">
        <v>917</v>
      </c>
      <c r="T163" s="19" t="s">
        <v>918</v>
      </c>
      <c r="U163" s="19" t="s">
        <v>919</v>
      </c>
      <c r="V163" s="21" t="s">
        <v>859</v>
      </c>
    </row>
    <row r="164" spans="1:22" ht="16.05" customHeight="1">
      <c r="A164" s="18" t="s">
        <v>846</v>
      </c>
      <c r="B164" s="19" t="s">
        <v>46</v>
      </c>
      <c r="C164" s="19">
        <v>7</v>
      </c>
      <c r="D164" s="19" t="s">
        <v>525</v>
      </c>
      <c r="E164" s="19" t="s">
        <v>526</v>
      </c>
      <c r="F164" s="20" t="s">
        <v>527</v>
      </c>
      <c r="G164" s="19">
        <v>12</v>
      </c>
      <c r="H164" s="19">
        <v>1</v>
      </c>
      <c r="I164" s="19">
        <v>6</v>
      </c>
      <c r="J164" s="19" t="s">
        <v>920</v>
      </c>
      <c r="K164" s="19" t="s">
        <v>921</v>
      </c>
      <c r="L164" s="19" t="s">
        <v>922</v>
      </c>
      <c r="M164" s="19" t="s">
        <v>923</v>
      </c>
      <c r="N164" s="19" t="s">
        <v>924</v>
      </c>
      <c r="O164" s="19" t="s">
        <v>925</v>
      </c>
      <c r="P164" s="19" t="s">
        <v>926</v>
      </c>
      <c r="Q164" s="19" t="s">
        <v>927</v>
      </c>
      <c r="R164" s="19" t="s">
        <v>928</v>
      </c>
      <c r="S164" s="19" t="s">
        <v>929</v>
      </c>
      <c r="T164" s="19" t="s">
        <v>930</v>
      </c>
      <c r="U164" s="19" t="s">
        <v>931</v>
      </c>
      <c r="V164" s="21" t="s">
        <v>859</v>
      </c>
    </row>
    <row r="165" spans="1:22" ht="16.05" customHeight="1">
      <c r="A165" s="18" t="s">
        <v>846</v>
      </c>
      <c r="B165" s="19" t="s">
        <v>46</v>
      </c>
      <c r="C165" s="19">
        <v>8</v>
      </c>
      <c r="D165" s="19" t="s">
        <v>567</v>
      </c>
      <c r="E165" s="19" t="s">
        <v>568</v>
      </c>
      <c r="F165" s="20" t="s">
        <v>569</v>
      </c>
      <c r="G165" s="19">
        <v>12</v>
      </c>
      <c r="H165" s="19">
        <v>1</v>
      </c>
      <c r="I165" s="19">
        <v>7</v>
      </c>
      <c r="J165" s="19" t="s">
        <v>932</v>
      </c>
      <c r="K165" s="19" t="s">
        <v>933</v>
      </c>
      <c r="L165" s="19" t="s">
        <v>934</v>
      </c>
      <c r="M165" s="19" t="s">
        <v>935</v>
      </c>
      <c r="N165" s="19" t="s">
        <v>936</v>
      </c>
      <c r="O165" s="19" t="s">
        <v>937</v>
      </c>
      <c r="P165" s="19" t="s">
        <v>938</v>
      </c>
      <c r="Q165" s="19" t="s">
        <v>939</v>
      </c>
      <c r="R165" s="19" t="s">
        <v>940</v>
      </c>
      <c r="S165" s="19" t="s">
        <v>941</v>
      </c>
      <c r="T165" s="19" t="s">
        <v>942</v>
      </c>
      <c r="U165" s="19" t="s">
        <v>943</v>
      </c>
      <c r="V165" s="21" t="s">
        <v>859</v>
      </c>
    </row>
    <row r="166" spans="1:22" ht="16.05" customHeight="1">
      <c r="A166" s="18" t="s">
        <v>846</v>
      </c>
      <c r="B166" s="19" t="s">
        <v>46</v>
      </c>
      <c r="C166" s="19">
        <v>9</v>
      </c>
      <c r="D166" s="19" t="s">
        <v>603</v>
      </c>
      <c r="E166" s="19" t="s">
        <v>604</v>
      </c>
      <c r="F166" s="20" t="s">
        <v>605</v>
      </c>
      <c r="G166" s="19">
        <v>12</v>
      </c>
      <c r="H166" s="19">
        <v>1</v>
      </c>
      <c r="I166" s="19">
        <v>8</v>
      </c>
      <c r="J166" s="19" t="s">
        <v>944</v>
      </c>
      <c r="K166" s="19" t="s">
        <v>945</v>
      </c>
      <c r="L166" s="19" t="s">
        <v>946</v>
      </c>
      <c r="M166" s="19" t="s">
        <v>947</v>
      </c>
      <c r="N166" s="19" t="s">
        <v>948</v>
      </c>
      <c r="O166" s="19" t="s">
        <v>949</v>
      </c>
      <c r="P166" s="19" t="s">
        <v>950</v>
      </c>
      <c r="Q166" s="19" t="s">
        <v>951</v>
      </c>
      <c r="R166" s="19" t="s">
        <v>952</v>
      </c>
      <c r="S166" s="19" t="s">
        <v>953</v>
      </c>
      <c r="T166" s="19" t="s">
        <v>954</v>
      </c>
      <c r="U166" s="19" t="s">
        <v>955</v>
      </c>
      <c r="V166" s="21" t="s">
        <v>859</v>
      </c>
    </row>
    <row r="167" spans="1:22" ht="16.05" customHeight="1">
      <c r="A167" s="18" t="s">
        <v>846</v>
      </c>
      <c r="B167" s="19" t="s">
        <v>46</v>
      </c>
      <c r="C167" s="19">
        <v>10</v>
      </c>
      <c r="D167" s="19" t="s">
        <v>639</v>
      </c>
      <c r="E167" s="19" t="s">
        <v>640</v>
      </c>
      <c r="F167" s="20" t="s">
        <v>641</v>
      </c>
      <c r="G167" s="19">
        <v>12</v>
      </c>
      <c r="H167" s="19">
        <v>1</v>
      </c>
      <c r="I167" s="19">
        <v>9</v>
      </c>
      <c r="J167" s="19" t="s">
        <v>956</v>
      </c>
      <c r="K167" s="19" t="s">
        <v>957</v>
      </c>
      <c r="L167" s="19" t="s">
        <v>958</v>
      </c>
      <c r="M167" s="19" t="s">
        <v>959</v>
      </c>
      <c r="N167" s="19" t="s">
        <v>960</v>
      </c>
      <c r="O167" s="19" t="s">
        <v>961</v>
      </c>
      <c r="P167" s="19" t="s">
        <v>962</v>
      </c>
      <c r="Q167" s="19" t="s">
        <v>963</v>
      </c>
      <c r="R167" s="19" t="s">
        <v>964</v>
      </c>
      <c r="S167" s="19" t="s">
        <v>965</v>
      </c>
      <c r="T167" s="19" t="s">
        <v>966</v>
      </c>
      <c r="U167" s="19" t="s">
        <v>967</v>
      </c>
      <c r="V167" s="21" t="s">
        <v>859</v>
      </c>
    </row>
    <row r="168" spans="1:22" ht="16.05" customHeight="1">
      <c r="A168" s="18" t="s">
        <v>846</v>
      </c>
      <c r="B168" s="19" t="s">
        <v>46</v>
      </c>
      <c r="C168" s="19">
        <v>11</v>
      </c>
      <c r="D168" s="19" t="s">
        <v>666</v>
      </c>
      <c r="E168" s="19" t="s">
        <v>667</v>
      </c>
      <c r="F168" s="20" t="s">
        <v>668</v>
      </c>
      <c r="G168" s="19">
        <v>12</v>
      </c>
      <c r="H168" s="19">
        <v>1</v>
      </c>
      <c r="I168" s="19">
        <v>10</v>
      </c>
      <c r="J168" s="19" t="s">
        <v>968</v>
      </c>
      <c r="K168" s="19" t="s">
        <v>969</v>
      </c>
      <c r="L168" s="19" t="s">
        <v>970</v>
      </c>
      <c r="M168" s="19" t="s">
        <v>971</v>
      </c>
      <c r="N168" s="19" t="s">
        <v>972</v>
      </c>
      <c r="O168" s="19" t="s">
        <v>973</v>
      </c>
      <c r="P168" s="19" t="s">
        <v>974</v>
      </c>
      <c r="Q168" s="19" t="s">
        <v>975</v>
      </c>
      <c r="R168" s="19" t="s">
        <v>976</v>
      </c>
      <c r="S168" s="19" t="s">
        <v>977</v>
      </c>
      <c r="T168" s="19" t="s">
        <v>978</v>
      </c>
      <c r="U168" s="19" t="s">
        <v>979</v>
      </c>
      <c r="V168" s="21" t="s">
        <v>859</v>
      </c>
    </row>
    <row r="169" spans="1:22" ht="16.05" customHeight="1">
      <c r="A169" s="18" t="s">
        <v>846</v>
      </c>
      <c r="B169" s="19" t="s">
        <v>46</v>
      </c>
      <c r="C169" s="19">
        <v>12</v>
      </c>
      <c r="D169" s="19" t="s">
        <v>684</v>
      </c>
      <c r="E169" s="19" t="s">
        <v>685</v>
      </c>
      <c r="F169" s="20" t="s">
        <v>686</v>
      </c>
      <c r="G169" s="19">
        <v>12</v>
      </c>
      <c r="H169" s="19">
        <v>1</v>
      </c>
      <c r="I169" s="19">
        <v>11</v>
      </c>
      <c r="J169" s="19" t="s">
        <v>980</v>
      </c>
      <c r="K169" s="19" t="s">
        <v>981</v>
      </c>
      <c r="L169" s="19" t="s">
        <v>982</v>
      </c>
      <c r="M169" s="19" t="s">
        <v>983</v>
      </c>
      <c r="N169" s="19" t="s">
        <v>984</v>
      </c>
      <c r="O169" s="19" t="s">
        <v>985</v>
      </c>
      <c r="P169" s="19" t="s">
        <v>986</v>
      </c>
      <c r="Q169" s="19" t="s">
        <v>987</v>
      </c>
      <c r="R169" s="19" t="s">
        <v>988</v>
      </c>
      <c r="S169" s="19" t="s">
        <v>989</v>
      </c>
      <c r="T169" s="19" t="s">
        <v>990</v>
      </c>
      <c r="U169" s="19" t="s">
        <v>991</v>
      </c>
      <c r="V169" s="21" t="s">
        <v>859</v>
      </c>
    </row>
    <row r="170" spans="1:22" ht="16.05" customHeight="1">
      <c r="A170" s="18" t="s">
        <v>846</v>
      </c>
      <c r="B170" s="19" t="s">
        <v>46</v>
      </c>
      <c r="C170" s="19">
        <v>13</v>
      </c>
      <c r="D170" s="19" t="s">
        <v>699</v>
      </c>
      <c r="E170" s="19" t="s">
        <v>700</v>
      </c>
      <c r="F170" s="20" t="s">
        <v>701</v>
      </c>
      <c r="G170" s="19">
        <v>12</v>
      </c>
      <c r="H170" s="19">
        <v>1</v>
      </c>
      <c r="I170" s="19">
        <v>12</v>
      </c>
      <c r="J170" s="19" t="s">
        <v>992</v>
      </c>
      <c r="K170" s="19" t="s">
        <v>993</v>
      </c>
      <c r="L170" s="19" t="s">
        <v>994</v>
      </c>
      <c r="M170" s="19" t="s">
        <v>995</v>
      </c>
      <c r="N170" s="19" t="s">
        <v>996</v>
      </c>
      <c r="O170" s="19" t="s">
        <v>997</v>
      </c>
      <c r="P170" s="19" t="s">
        <v>998</v>
      </c>
      <c r="Q170" s="19" t="s">
        <v>999</v>
      </c>
      <c r="R170" s="19" t="s">
        <v>1000</v>
      </c>
      <c r="S170" s="19" t="s">
        <v>1001</v>
      </c>
      <c r="T170" s="19" t="s">
        <v>1002</v>
      </c>
      <c r="U170" s="19" t="s">
        <v>1003</v>
      </c>
      <c r="V170" s="21" t="s">
        <v>859</v>
      </c>
    </row>
    <row r="171" spans="1:22" ht="16.05" customHeight="1">
      <c r="A171" s="18" t="s">
        <v>846</v>
      </c>
      <c r="B171" s="19" t="s">
        <v>46</v>
      </c>
      <c r="C171" s="19">
        <v>14</v>
      </c>
      <c r="D171" s="19" t="s">
        <v>711</v>
      </c>
      <c r="E171" s="19" t="s">
        <v>712</v>
      </c>
      <c r="F171" s="20" t="s">
        <v>713</v>
      </c>
      <c r="G171" s="19">
        <v>12</v>
      </c>
      <c r="H171" s="19">
        <v>1</v>
      </c>
      <c r="I171" s="19">
        <v>13</v>
      </c>
      <c r="J171" s="19" t="s">
        <v>1004</v>
      </c>
      <c r="K171" s="19" t="s">
        <v>1005</v>
      </c>
      <c r="L171" s="19" t="s">
        <v>1006</v>
      </c>
      <c r="M171" s="19" t="s">
        <v>1007</v>
      </c>
      <c r="N171" s="19" t="s">
        <v>1008</v>
      </c>
      <c r="O171" s="19" t="s">
        <v>1009</v>
      </c>
      <c r="P171" s="19" t="s">
        <v>1010</v>
      </c>
      <c r="Q171" s="19" t="s">
        <v>1011</v>
      </c>
      <c r="R171" s="19" t="s">
        <v>1012</v>
      </c>
      <c r="S171" s="19" t="s">
        <v>1013</v>
      </c>
      <c r="T171" s="19" t="s">
        <v>1014</v>
      </c>
      <c r="U171" s="19" t="s">
        <v>1015</v>
      </c>
      <c r="V171" s="21" t="s">
        <v>859</v>
      </c>
    </row>
    <row r="172" spans="1:22" ht="16.05" customHeight="1">
      <c r="A172" s="18" t="s">
        <v>846</v>
      </c>
      <c r="B172" s="19" t="s">
        <v>46</v>
      </c>
      <c r="C172" s="19">
        <v>15</v>
      </c>
      <c r="D172" s="19" t="s">
        <v>723</v>
      </c>
      <c r="E172" s="19" t="s">
        <v>724</v>
      </c>
      <c r="F172" s="20" t="s">
        <v>725</v>
      </c>
      <c r="G172" s="19">
        <v>12</v>
      </c>
      <c r="H172" s="19">
        <v>1</v>
      </c>
      <c r="I172" s="19">
        <v>14</v>
      </c>
      <c r="J172" s="19" t="s">
        <v>1016</v>
      </c>
      <c r="K172" s="19" t="s">
        <v>1017</v>
      </c>
      <c r="L172" s="19" t="s">
        <v>1018</v>
      </c>
      <c r="M172" s="19" t="s">
        <v>1019</v>
      </c>
      <c r="N172" s="19" t="s">
        <v>1020</v>
      </c>
      <c r="O172" s="19" t="s">
        <v>1021</v>
      </c>
      <c r="P172" s="19" t="s">
        <v>1022</v>
      </c>
      <c r="Q172" s="19" t="s">
        <v>1023</v>
      </c>
      <c r="R172" s="19" t="s">
        <v>1024</v>
      </c>
      <c r="S172" s="19" t="s">
        <v>1025</v>
      </c>
      <c r="T172" s="19" t="s">
        <v>1026</v>
      </c>
      <c r="U172" s="19" t="s">
        <v>1027</v>
      </c>
      <c r="V172" s="21" t="s">
        <v>859</v>
      </c>
    </row>
    <row r="173" spans="1:22" ht="16.05" customHeight="1">
      <c r="A173" s="18" t="s">
        <v>1052</v>
      </c>
      <c r="B173" s="19" t="s">
        <v>47</v>
      </c>
      <c r="C173" s="19">
        <v>1</v>
      </c>
      <c r="D173" s="19" t="s">
        <v>740</v>
      </c>
      <c r="E173" s="19" t="s">
        <v>741</v>
      </c>
      <c r="F173" s="20" t="s">
        <v>742</v>
      </c>
      <c r="G173" s="19">
        <v>12</v>
      </c>
      <c r="H173" s="19">
        <v>2</v>
      </c>
      <c r="I173" s="19">
        <v>0</v>
      </c>
      <c r="J173" s="19" t="s">
        <v>1053</v>
      </c>
      <c r="K173" s="19" t="s">
        <v>1054</v>
      </c>
      <c r="L173" s="19" t="s">
        <v>1055</v>
      </c>
      <c r="M173" s="19" t="s">
        <v>1056</v>
      </c>
      <c r="N173" s="19" t="s">
        <v>1057</v>
      </c>
      <c r="O173" s="19" t="s">
        <v>1058</v>
      </c>
      <c r="P173" s="19" t="s">
        <v>1059</v>
      </c>
      <c r="Q173" s="19" t="s">
        <v>1060</v>
      </c>
      <c r="R173" s="19" t="s">
        <v>1061</v>
      </c>
      <c r="S173" s="19" t="s">
        <v>1062</v>
      </c>
      <c r="T173" s="19" t="s">
        <v>1063</v>
      </c>
      <c r="U173" s="19" t="s">
        <v>1064</v>
      </c>
      <c r="V173" s="21" t="s">
        <v>1065</v>
      </c>
    </row>
    <row r="174" spans="1:22" ht="16.05" customHeight="1">
      <c r="A174" s="18" t="s">
        <v>1052</v>
      </c>
      <c r="B174" s="19" t="s">
        <v>47</v>
      </c>
      <c r="C174" s="19">
        <v>2</v>
      </c>
      <c r="D174" s="19" t="s">
        <v>743</v>
      </c>
      <c r="E174" s="19" t="s">
        <v>744</v>
      </c>
      <c r="F174" s="20" t="s">
        <v>745</v>
      </c>
      <c r="G174" s="19">
        <v>12</v>
      </c>
      <c r="H174" s="19">
        <v>2</v>
      </c>
      <c r="I174" s="19">
        <v>1</v>
      </c>
      <c r="J174" s="19" t="s">
        <v>1066</v>
      </c>
      <c r="K174" s="19" t="s">
        <v>1067</v>
      </c>
      <c r="L174" s="19" t="s">
        <v>1068</v>
      </c>
      <c r="M174" s="19" t="s">
        <v>1069</v>
      </c>
      <c r="N174" s="19" t="s">
        <v>1070</v>
      </c>
      <c r="O174" s="19" t="s">
        <v>1071</v>
      </c>
      <c r="P174" s="19" t="s">
        <v>1072</v>
      </c>
      <c r="Q174" s="19" t="s">
        <v>1073</v>
      </c>
      <c r="R174" s="19" t="s">
        <v>1074</v>
      </c>
      <c r="S174" s="19" t="s">
        <v>1075</v>
      </c>
      <c r="T174" s="19" t="s">
        <v>1076</v>
      </c>
      <c r="U174" s="19" t="s">
        <v>1077</v>
      </c>
      <c r="V174" s="21" t="s">
        <v>1065</v>
      </c>
    </row>
    <row r="175" spans="1:22" ht="16.05" customHeight="1">
      <c r="A175" s="18" t="s">
        <v>1052</v>
      </c>
      <c r="B175" s="19" t="s">
        <v>47</v>
      </c>
      <c r="C175" s="19">
        <v>3</v>
      </c>
      <c r="D175" s="19" t="s">
        <v>746</v>
      </c>
      <c r="E175" s="19" t="s">
        <v>747</v>
      </c>
      <c r="F175" s="20" t="s">
        <v>748</v>
      </c>
      <c r="G175" s="19">
        <v>12</v>
      </c>
      <c r="H175" s="19">
        <v>2</v>
      </c>
      <c r="I175" s="19">
        <v>2</v>
      </c>
      <c r="J175" s="19" t="s">
        <v>1078</v>
      </c>
      <c r="K175" s="19" t="s">
        <v>1079</v>
      </c>
      <c r="L175" s="19" t="s">
        <v>1080</v>
      </c>
      <c r="M175" s="19" t="s">
        <v>1081</v>
      </c>
      <c r="N175" s="19" t="s">
        <v>1082</v>
      </c>
      <c r="O175" s="19" t="s">
        <v>1083</v>
      </c>
      <c r="P175" s="19" t="s">
        <v>1084</v>
      </c>
      <c r="Q175" s="19" t="s">
        <v>1085</v>
      </c>
      <c r="R175" s="19" t="s">
        <v>1086</v>
      </c>
      <c r="S175" s="19" t="s">
        <v>1087</v>
      </c>
      <c r="T175" s="19" t="s">
        <v>1088</v>
      </c>
      <c r="U175" s="19" t="s">
        <v>1089</v>
      </c>
      <c r="V175" s="21" t="s">
        <v>1065</v>
      </c>
    </row>
    <row r="176" spans="1:22" ht="16.05" customHeight="1">
      <c r="A176" s="18" t="s">
        <v>1052</v>
      </c>
      <c r="B176" s="19" t="s">
        <v>47</v>
      </c>
      <c r="C176" s="19">
        <v>4</v>
      </c>
      <c r="D176" s="19" t="s">
        <v>749</v>
      </c>
      <c r="E176" s="19" t="s">
        <v>750</v>
      </c>
      <c r="F176" s="20" t="s">
        <v>751</v>
      </c>
      <c r="G176" s="19">
        <v>12</v>
      </c>
      <c r="H176" s="19">
        <v>2</v>
      </c>
      <c r="I176" s="19">
        <v>3</v>
      </c>
      <c r="J176" s="19" t="s">
        <v>1090</v>
      </c>
      <c r="K176" s="19" t="s">
        <v>1091</v>
      </c>
      <c r="L176" s="19" t="s">
        <v>1092</v>
      </c>
      <c r="M176" s="19" t="s">
        <v>1093</v>
      </c>
      <c r="N176" s="19" t="s">
        <v>1094</v>
      </c>
      <c r="O176" s="19" t="s">
        <v>1095</v>
      </c>
      <c r="P176" s="19" t="s">
        <v>1096</v>
      </c>
      <c r="Q176" s="19" t="s">
        <v>1097</v>
      </c>
      <c r="R176" s="19" t="s">
        <v>1098</v>
      </c>
      <c r="S176" s="19" t="s">
        <v>1099</v>
      </c>
      <c r="T176" s="19" t="s">
        <v>1100</v>
      </c>
      <c r="U176" s="19" t="s">
        <v>1101</v>
      </c>
      <c r="V176" s="21" t="s">
        <v>1065</v>
      </c>
    </row>
    <row r="177" spans="1:22" ht="16.05" customHeight="1">
      <c r="A177" s="18" t="s">
        <v>1052</v>
      </c>
      <c r="B177" s="19" t="s">
        <v>47</v>
      </c>
      <c r="C177" s="19">
        <v>5</v>
      </c>
      <c r="D177" s="19" t="s">
        <v>752</v>
      </c>
      <c r="E177" s="19" t="s">
        <v>753</v>
      </c>
      <c r="F177" s="20" t="s">
        <v>754</v>
      </c>
      <c r="G177" s="19">
        <v>12</v>
      </c>
      <c r="H177" s="19">
        <v>2</v>
      </c>
      <c r="I177" s="19">
        <v>4</v>
      </c>
      <c r="J177" s="19" t="s">
        <v>1102</v>
      </c>
      <c r="K177" s="19" t="s">
        <v>1103</v>
      </c>
      <c r="L177" s="19" t="s">
        <v>1104</v>
      </c>
      <c r="M177" s="19" t="s">
        <v>1105</v>
      </c>
      <c r="N177" s="19" t="s">
        <v>1106</v>
      </c>
      <c r="O177" s="19" t="s">
        <v>1107</v>
      </c>
      <c r="P177" s="19" t="s">
        <v>1108</v>
      </c>
      <c r="Q177" s="19" t="s">
        <v>1109</v>
      </c>
      <c r="R177" s="19" t="s">
        <v>1110</v>
      </c>
      <c r="S177" s="19" t="s">
        <v>1111</v>
      </c>
      <c r="T177" s="19" t="s">
        <v>1112</v>
      </c>
      <c r="U177" s="19" t="s">
        <v>1113</v>
      </c>
      <c r="V177" s="21" t="s">
        <v>1065</v>
      </c>
    </row>
    <row r="178" spans="1:22" ht="16.05" customHeight="1">
      <c r="A178" s="18" t="s">
        <v>1052</v>
      </c>
      <c r="B178" s="19" t="s">
        <v>47</v>
      </c>
      <c r="C178" s="19">
        <v>6</v>
      </c>
      <c r="D178" s="19" t="s">
        <v>755</v>
      </c>
      <c r="E178" s="19" t="s">
        <v>756</v>
      </c>
      <c r="F178" s="20" t="s">
        <v>757</v>
      </c>
      <c r="G178" s="19">
        <v>12</v>
      </c>
      <c r="H178" s="19">
        <v>2</v>
      </c>
      <c r="I178" s="19">
        <v>5</v>
      </c>
      <c r="J178" s="19" t="s">
        <v>1114</v>
      </c>
      <c r="K178" s="19" t="s">
        <v>1115</v>
      </c>
      <c r="L178" s="19" t="s">
        <v>1116</v>
      </c>
      <c r="M178" s="19" t="s">
        <v>1117</v>
      </c>
      <c r="N178" s="19" t="s">
        <v>1118</v>
      </c>
      <c r="O178" s="19" t="s">
        <v>1119</v>
      </c>
      <c r="P178" s="19" t="s">
        <v>1120</v>
      </c>
      <c r="Q178" s="19" t="s">
        <v>1121</v>
      </c>
      <c r="R178" s="19" t="s">
        <v>1122</v>
      </c>
      <c r="S178" s="19" t="s">
        <v>1123</v>
      </c>
      <c r="T178" s="19" t="s">
        <v>1124</v>
      </c>
      <c r="U178" s="19" t="s">
        <v>1125</v>
      </c>
      <c r="V178" s="21" t="s">
        <v>1065</v>
      </c>
    </row>
    <row r="179" spans="1:22" ht="16.05" customHeight="1">
      <c r="A179" s="18" t="s">
        <v>1052</v>
      </c>
      <c r="B179" s="19" t="s">
        <v>47</v>
      </c>
      <c r="C179" s="19">
        <v>7</v>
      </c>
      <c r="D179" s="19" t="s">
        <v>758</v>
      </c>
      <c r="E179" s="19" t="s">
        <v>759</v>
      </c>
      <c r="F179" s="20" t="s">
        <v>760</v>
      </c>
      <c r="G179" s="19">
        <v>12</v>
      </c>
      <c r="H179" s="19">
        <v>2</v>
      </c>
      <c r="I179" s="19">
        <v>6</v>
      </c>
      <c r="J179" s="19" t="s">
        <v>1126</v>
      </c>
      <c r="K179" s="19" t="s">
        <v>1127</v>
      </c>
      <c r="L179" s="19" t="s">
        <v>1128</v>
      </c>
      <c r="M179" s="19" t="s">
        <v>1129</v>
      </c>
      <c r="N179" s="19" t="s">
        <v>1130</v>
      </c>
      <c r="O179" s="19" t="s">
        <v>1131</v>
      </c>
      <c r="P179" s="19" t="s">
        <v>1132</v>
      </c>
      <c r="Q179" s="19" t="s">
        <v>1133</v>
      </c>
      <c r="R179" s="19" t="s">
        <v>1134</v>
      </c>
      <c r="S179" s="19" t="s">
        <v>1135</v>
      </c>
      <c r="T179" s="19" t="s">
        <v>1136</v>
      </c>
      <c r="U179" s="19" t="s">
        <v>1137</v>
      </c>
      <c r="V179" s="21" t="s">
        <v>1065</v>
      </c>
    </row>
    <row r="180" spans="1:22" ht="16.05" customHeight="1">
      <c r="A180" s="18" t="s">
        <v>1052</v>
      </c>
      <c r="B180" s="19" t="s">
        <v>47</v>
      </c>
      <c r="C180" s="19">
        <v>8</v>
      </c>
      <c r="D180" s="19" t="s">
        <v>761</v>
      </c>
      <c r="E180" s="19" t="s">
        <v>762</v>
      </c>
      <c r="F180" s="20" t="s">
        <v>763</v>
      </c>
      <c r="G180" s="19">
        <v>12</v>
      </c>
      <c r="H180" s="19">
        <v>2</v>
      </c>
      <c r="I180" s="19">
        <v>7</v>
      </c>
      <c r="J180" s="19" t="s">
        <v>1138</v>
      </c>
      <c r="K180" s="19" t="s">
        <v>1139</v>
      </c>
      <c r="L180" s="19" t="s">
        <v>1140</v>
      </c>
      <c r="M180" s="19" t="s">
        <v>1141</v>
      </c>
      <c r="N180" s="19" t="s">
        <v>1142</v>
      </c>
      <c r="O180" s="19" t="s">
        <v>1143</v>
      </c>
      <c r="P180" s="19" t="s">
        <v>1144</v>
      </c>
      <c r="Q180" s="19" t="s">
        <v>1145</v>
      </c>
      <c r="R180" s="19" t="s">
        <v>1146</v>
      </c>
      <c r="S180" s="19" t="s">
        <v>1147</v>
      </c>
      <c r="T180" s="19" t="s">
        <v>1148</v>
      </c>
      <c r="U180" s="19" t="s">
        <v>1149</v>
      </c>
      <c r="V180" s="21" t="s">
        <v>1065</v>
      </c>
    </row>
    <row r="181" spans="1:22" ht="16.05" customHeight="1">
      <c r="A181" s="18" t="s">
        <v>1052</v>
      </c>
      <c r="B181" s="19" t="s">
        <v>47</v>
      </c>
      <c r="C181" s="19">
        <v>9</v>
      </c>
      <c r="D181" s="19" t="s">
        <v>764</v>
      </c>
      <c r="E181" s="19" t="s">
        <v>765</v>
      </c>
      <c r="F181" s="20" t="s">
        <v>766</v>
      </c>
      <c r="G181" s="19">
        <v>12</v>
      </c>
      <c r="H181" s="19">
        <v>2</v>
      </c>
      <c r="I181" s="19">
        <v>8</v>
      </c>
      <c r="J181" s="19" t="s">
        <v>1150</v>
      </c>
      <c r="K181" s="19" t="s">
        <v>1151</v>
      </c>
      <c r="L181" s="19" t="s">
        <v>1152</v>
      </c>
      <c r="M181" s="19" t="s">
        <v>1153</v>
      </c>
      <c r="N181" s="19" t="s">
        <v>1154</v>
      </c>
      <c r="O181" s="19" t="s">
        <v>1155</v>
      </c>
      <c r="P181" s="19" t="s">
        <v>1156</v>
      </c>
      <c r="Q181" s="19" t="s">
        <v>1157</v>
      </c>
      <c r="R181" s="19" t="s">
        <v>1158</v>
      </c>
      <c r="S181" s="19" t="s">
        <v>1159</v>
      </c>
      <c r="T181" s="19" t="s">
        <v>1160</v>
      </c>
      <c r="U181" s="19" t="s">
        <v>1161</v>
      </c>
      <c r="V181" s="21" t="s">
        <v>1065</v>
      </c>
    </row>
    <row r="182" spans="1:22" ht="16.05" customHeight="1">
      <c r="A182" s="18" t="s">
        <v>1052</v>
      </c>
      <c r="B182" s="19" t="s">
        <v>47</v>
      </c>
      <c r="C182" s="19">
        <v>10</v>
      </c>
      <c r="D182" s="19" t="s">
        <v>767</v>
      </c>
      <c r="E182" s="19" t="s">
        <v>768</v>
      </c>
      <c r="F182" s="20" t="s">
        <v>769</v>
      </c>
      <c r="G182" s="19">
        <v>12</v>
      </c>
      <c r="H182" s="19">
        <v>2</v>
      </c>
      <c r="I182" s="19">
        <v>9</v>
      </c>
      <c r="J182" s="19" t="s">
        <v>1162</v>
      </c>
      <c r="K182" s="19" t="s">
        <v>1163</v>
      </c>
      <c r="L182" s="19" t="s">
        <v>1164</v>
      </c>
      <c r="M182" s="19" t="s">
        <v>1165</v>
      </c>
      <c r="N182" s="19" t="s">
        <v>1166</v>
      </c>
      <c r="O182" s="19" t="s">
        <v>1167</v>
      </c>
      <c r="P182" s="19" t="s">
        <v>1168</v>
      </c>
      <c r="Q182" s="19" t="s">
        <v>1169</v>
      </c>
      <c r="R182" s="19" t="s">
        <v>1170</v>
      </c>
      <c r="S182" s="19" t="s">
        <v>1171</v>
      </c>
      <c r="T182" s="19" t="s">
        <v>1172</v>
      </c>
      <c r="U182" s="19" t="s">
        <v>1173</v>
      </c>
      <c r="V182" s="21" t="s">
        <v>1065</v>
      </c>
    </row>
    <row r="183" spans="1:22" ht="16.05" customHeight="1">
      <c r="A183" s="18" t="s">
        <v>1052</v>
      </c>
      <c r="B183" s="19" t="s">
        <v>47</v>
      </c>
      <c r="C183" s="19">
        <v>11</v>
      </c>
      <c r="D183" s="19" t="s">
        <v>770</v>
      </c>
      <c r="E183" s="19" t="s">
        <v>771</v>
      </c>
      <c r="F183" s="20" t="s">
        <v>772</v>
      </c>
      <c r="G183" s="19">
        <v>12</v>
      </c>
      <c r="H183" s="19">
        <v>2</v>
      </c>
      <c r="I183" s="19">
        <v>10</v>
      </c>
      <c r="J183" s="19" t="s">
        <v>1174</v>
      </c>
      <c r="K183" s="19" t="s">
        <v>1175</v>
      </c>
      <c r="L183" s="19" t="s">
        <v>1176</v>
      </c>
      <c r="M183" s="19" t="s">
        <v>1177</v>
      </c>
      <c r="N183" s="19" t="s">
        <v>1178</v>
      </c>
      <c r="O183" s="19" t="s">
        <v>1179</v>
      </c>
      <c r="P183" s="19" t="s">
        <v>1180</v>
      </c>
      <c r="Q183" s="19" t="s">
        <v>1181</v>
      </c>
      <c r="R183" s="19" t="s">
        <v>1182</v>
      </c>
      <c r="S183" s="19" t="s">
        <v>1183</v>
      </c>
      <c r="T183" s="19" t="s">
        <v>1184</v>
      </c>
      <c r="U183" s="19" t="s">
        <v>1185</v>
      </c>
      <c r="V183" s="21" t="s">
        <v>1065</v>
      </c>
    </row>
    <row r="184" spans="1:22" ht="16.05" customHeight="1">
      <c r="A184" s="18" t="s">
        <v>1052</v>
      </c>
      <c r="B184" s="19" t="s">
        <v>47</v>
      </c>
      <c r="C184" s="19">
        <v>12</v>
      </c>
      <c r="D184" s="19" t="s">
        <v>773</v>
      </c>
      <c r="E184" s="19" t="s">
        <v>774</v>
      </c>
      <c r="F184" s="20" t="s">
        <v>775</v>
      </c>
      <c r="G184" s="19">
        <v>12</v>
      </c>
      <c r="H184" s="19">
        <v>2</v>
      </c>
      <c r="I184" s="19">
        <v>11</v>
      </c>
      <c r="J184" s="19" t="s">
        <v>1186</v>
      </c>
      <c r="K184" s="19" t="s">
        <v>1187</v>
      </c>
      <c r="L184" s="19" t="s">
        <v>1188</v>
      </c>
      <c r="M184" s="19" t="s">
        <v>1189</v>
      </c>
      <c r="N184" s="19" t="s">
        <v>1190</v>
      </c>
      <c r="O184" s="19" t="s">
        <v>1191</v>
      </c>
      <c r="P184" s="19" t="s">
        <v>1192</v>
      </c>
      <c r="Q184" s="19" t="s">
        <v>1193</v>
      </c>
      <c r="R184" s="19" t="s">
        <v>1194</v>
      </c>
      <c r="S184" s="19" t="s">
        <v>1195</v>
      </c>
      <c r="T184" s="19" t="s">
        <v>1196</v>
      </c>
      <c r="U184" s="19" t="s">
        <v>1197</v>
      </c>
      <c r="V184" s="21" t="s">
        <v>1065</v>
      </c>
    </row>
    <row r="185" spans="1:22" ht="16.05" customHeight="1">
      <c r="A185" s="18" t="s">
        <v>1052</v>
      </c>
      <c r="B185" s="19" t="s">
        <v>47</v>
      </c>
      <c r="C185" s="19">
        <v>13</v>
      </c>
      <c r="D185" s="19" t="s">
        <v>776</v>
      </c>
      <c r="E185" s="19" t="s">
        <v>777</v>
      </c>
      <c r="F185" s="20" t="s">
        <v>778</v>
      </c>
      <c r="G185" s="19">
        <v>12</v>
      </c>
      <c r="H185" s="19">
        <v>2</v>
      </c>
      <c r="I185" s="19">
        <v>12</v>
      </c>
      <c r="J185" s="19" t="s">
        <v>1198</v>
      </c>
      <c r="K185" s="19" t="s">
        <v>1199</v>
      </c>
      <c r="L185" s="19" t="s">
        <v>1200</v>
      </c>
      <c r="M185" s="19" t="s">
        <v>1201</v>
      </c>
      <c r="N185" s="19" t="s">
        <v>1202</v>
      </c>
      <c r="O185" s="19" t="s">
        <v>1203</v>
      </c>
      <c r="P185" s="19" t="s">
        <v>1204</v>
      </c>
      <c r="Q185" s="19" t="s">
        <v>1205</v>
      </c>
      <c r="R185" s="19" t="s">
        <v>1206</v>
      </c>
      <c r="S185" s="19" t="s">
        <v>1207</v>
      </c>
      <c r="T185" s="19" t="s">
        <v>1208</v>
      </c>
      <c r="U185" s="19" t="s">
        <v>1209</v>
      </c>
      <c r="V185" s="21" t="s">
        <v>1065</v>
      </c>
    </row>
    <row r="186" spans="1:22" ht="16.05" customHeight="1">
      <c r="A186" s="18" t="s">
        <v>1052</v>
      </c>
      <c r="B186" s="19" t="s">
        <v>47</v>
      </c>
      <c r="C186" s="19">
        <v>14</v>
      </c>
      <c r="D186" s="19" t="s">
        <v>779</v>
      </c>
      <c r="E186" s="19" t="s">
        <v>780</v>
      </c>
      <c r="F186" s="20" t="s">
        <v>781</v>
      </c>
      <c r="G186" s="19">
        <v>12</v>
      </c>
      <c r="H186" s="19">
        <v>2</v>
      </c>
      <c r="I186" s="19">
        <v>13</v>
      </c>
      <c r="J186" s="19" t="s">
        <v>1210</v>
      </c>
      <c r="K186" s="19" t="s">
        <v>1211</v>
      </c>
      <c r="L186" s="19" t="s">
        <v>1212</v>
      </c>
      <c r="M186" s="19" t="s">
        <v>1213</v>
      </c>
      <c r="N186" s="19" t="s">
        <v>1214</v>
      </c>
      <c r="O186" s="19" t="s">
        <v>1215</v>
      </c>
      <c r="P186" s="19" t="s">
        <v>1216</v>
      </c>
      <c r="Q186" s="19" t="s">
        <v>1217</v>
      </c>
      <c r="R186" s="19" t="s">
        <v>1218</v>
      </c>
      <c r="S186" s="19" t="s">
        <v>1219</v>
      </c>
      <c r="T186" s="19" t="s">
        <v>1220</v>
      </c>
      <c r="U186" s="19" t="s">
        <v>1221</v>
      </c>
      <c r="V186" s="21" t="s">
        <v>1065</v>
      </c>
    </row>
    <row r="187" spans="1:22" ht="16.05" customHeight="1">
      <c r="A187" s="18" t="s">
        <v>1052</v>
      </c>
      <c r="B187" s="19" t="s">
        <v>47</v>
      </c>
      <c r="C187" s="19">
        <v>15</v>
      </c>
      <c r="D187" s="19" t="s">
        <v>782</v>
      </c>
      <c r="E187" s="19" t="s">
        <v>783</v>
      </c>
      <c r="F187" s="20" t="s">
        <v>784</v>
      </c>
      <c r="G187" s="19">
        <v>12</v>
      </c>
      <c r="H187" s="19">
        <v>2</v>
      </c>
      <c r="I187" s="19">
        <v>14</v>
      </c>
      <c r="J187" s="19" t="s">
        <v>1222</v>
      </c>
      <c r="K187" s="19" t="s">
        <v>1223</v>
      </c>
      <c r="L187" s="19" t="s">
        <v>1224</v>
      </c>
      <c r="M187" s="19" t="s">
        <v>1225</v>
      </c>
      <c r="N187" s="19" t="s">
        <v>1226</v>
      </c>
      <c r="O187" s="19" t="s">
        <v>1227</v>
      </c>
      <c r="P187" s="19" t="s">
        <v>1228</v>
      </c>
      <c r="Q187" s="19" t="s">
        <v>1229</v>
      </c>
      <c r="R187" s="19" t="s">
        <v>1230</v>
      </c>
      <c r="S187" s="19" t="s">
        <v>1231</v>
      </c>
      <c r="T187" s="19" t="s">
        <v>1232</v>
      </c>
      <c r="U187" s="19" t="s">
        <v>1233</v>
      </c>
      <c r="V187" s="21" t="s">
        <v>1065</v>
      </c>
    </row>
    <row r="188" spans="1:22" ht="16.05" customHeight="1">
      <c r="A188" s="18" t="s">
        <v>1052</v>
      </c>
      <c r="B188" s="19" t="s">
        <v>47</v>
      </c>
      <c r="C188" s="19">
        <v>16</v>
      </c>
      <c r="D188" s="19" t="s">
        <v>785</v>
      </c>
      <c r="E188" s="19" t="s">
        <v>786</v>
      </c>
      <c r="F188" s="20" t="s">
        <v>787</v>
      </c>
      <c r="G188" s="19">
        <v>12</v>
      </c>
      <c r="H188" s="19">
        <v>2</v>
      </c>
      <c r="I188" s="19">
        <v>15</v>
      </c>
      <c r="J188" s="19" t="s">
        <v>1234</v>
      </c>
      <c r="K188" s="19" t="s">
        <v>1235</v>
      </c>
      <c r="L188" s="19" t="s">
        <v>1236</v>
      </c>
      <c r="M188" s="19" t="s">
        <v>1237</v>
      </c>
      <c r="N188" s="19" t="s">
        <v>1238</v>
      </c>
      <c r="O188" s="19" t="s">
        <v>1239</v>
      </c>
      <c r="P188" s="19" t="s">
        <v>1240</v>
      </c>
      <c r="Q188" s="19" t="s">
        <v>1241</v>
      </c>
      <c r="R188" s="19" t="s">
        <v>1242</v>
      </c>
      <c r="S188" s="19" t="s">
        <v>1243</v>
      </c>
      <c r="T188" s="19" t="s">
        <v>1244</v>
      </c>
      <c r="U188" s="19" t="s">
        <v>1245</v>
      </c>
      <c r="V188" s="21" t="s">
        <v>1065</v>
      </c>
    </row>
    <row r="189" spans="1:22" ht="16.05" customHeight="1">
      <c r="A189" s="18" t="s">
        <v>1052</v>
      </c>
      <c r="B189" s="19" t="s">
        <v>47</v>
      </c>
      <c r="C189" s="19">
        <v>17</v>
      </c>
      <c r="D189" s="19" t="s">
        <v>788</v>
      </c>
      <c r="E189" s="19" t="s">
        <v>789</v>
      </c>
      <c r="F189" s="20" t="s">
        <v>790</v>
      </c>
      <c r="G189" s="19">
        <v>12</v>
      </c>
      <c r="H189" s="19">
        <v>2</v>
      </c>
      <c r="I189" s="19">
        <v>16</v>
      </c>
      <c r="J189" s="19" t="s">
        <v>1246</v>
      </c>
      <c r="K189" s="19" t="s">
        <v>1247</v>
      </c>
      <c r="L189" s="19" t="s">
        <v>1248</v>
      </c>
      <c r="M189" s="19" t="s">
        <v>1249</v>
      </c>
      <c r="N189" s="19" t="s">
        <v>1250</v>
      </c>
      <c r="O189" s="19" t="s">
        <v>1251</v>
      </c>
      <c r="P189" s="19" t="s">
        <v>1252</v>
      </c>
      <c r="Q189" s="19" t="s">
        <v>1253</v>
      </c>
      <c r="R189" s="19" t="s">
        <v>1254</v>
      </c>
      <c r="S189" s="19" t="s">
        <v>1255</v>
      </c>
      <c r="T189" s="19" t="s">
        <v>1256</v>
      </c>
      <c r="U189" s="19" t="s">
        <v>1257</v>
      </c>
      <c r="V189" s="21" t="s">
        <v>1065</v>
      </c>
    </row>
    <row r="190" spans="1:22" ht="16.05" customHeight="1">
      <c r="A190" s="18" t="s">
        <v>1052</v>
      </c>
      <c r="B190" s="19" t="s">
        <v>47</v>
      </c>
      <c r="C190" s="19">
        <v>18</v>
      </c>
      <c r="D190" s="19" t="s">
        <v>791</v>
      </c>
      <c r="E190" s="19" t="s">
        <v>792</v>
      </c>
      <c r="F190" s="20" t="s">
        <v>793</v>
      </c>
      <c r="G190" s="19">
        <v>12</v>
      </c>
      <c r="H190" s="19">
        <v>2</v>
      </c>
      <c r="I190" s="19">
        <v>17</v>
      </c>
      <c r="J190" s="19" t="s">
        <v>1258</v>
      </c>
      <c r="K190" s="19" t="s">
        <v>1259</v>
      </c>
      <c r="L190" s="19" t="s">
        <v>1260</v>
      </c>
      <c r="M190" s="19" t="s">
        <v>1261</v>
      </c>
      <c r="N190" s="19" t="s">
        <v>1262</v>
      </c>
      <c r="O190" s="19" t="s">
        <v>1263</v>
      </c>
      <c r="P190" s="19" t="s">
        <v>1264</v>
      </c>
      <c r="Q190" s="19" t="s">
        <v>1265</v>
      </c>
      <c r="R190" s="19" t="s">
        <v>1266</v>
      </c>
      <c r="S190" s="19" t="s">
        <v>1267</v>
      </c>
      <c r="T190" s="19" t="s">
        <v>1268</v>
      </c>
      <c r="U190" s="19" t="s">
        <v>1269</v>
      </c>
      <c r="V190" s="21" t="s">
        <v>1065</v>
      </c>
    </row>
    <row r="191" spans="1:22" ht="16.05" customHeight="1">
      <c r="A191" s="18" t="s">
        <v>1052</v>
      </c>
      <c r="B191" s="19" t="s">
        <v>47</v>
      </c>
      <c r="C191" s="19">
        <v>19</v>
      </c>
      <c r="D191" s="19" t="s">
        <v>794</v>
      </c>
      <c r="E191" s="19" t="s">
        <v>795</v>
      </c>
      <c r="F191" s="20" t="s">
        <v>796</v>
      </c>
      <c r="G191" s="19">
        <v>12</v>
      </c>
      <c r="H191" s="19">
        <v>2</v>
      </c>
      <c r="I191" s="19">
        <v>18</v>
      </c>
      <c r="J191" s="19" t="s">
        <v>1270</v>
      </c>
      <c r="K191" s="19" t="s">
        <v>1271</v>
      </c>
      <c r="L191" s="19" t="s">
        <v>1272</v>
      </c>
      <c r="M191" s="19" t="s">
        <v>1273</v>
      </c>
      <c r="N191" s="19" t="s">
        <v>1274</v>
      </c>
      <c r="O191" s="19" t="s">
        <v>1275</v>
      </c>
      <c r="P191" s="19" t="s">
        <v>1276</v>
      </c>
      <c r="Q191" s="19" t="s">
        <v>1277</v>
      </c>
      <c r="R191" s="19" t="s">
        <v>1278</v>
      </c>
      <c r="S191" s="19" t="s">
        <v>1279</v>
      </c>
      <c r="T191" s="19" t="s">
        <v>1280</v>
      </c>
      <c r="U191" s="19" t="s">
        <v>1281</v>
      </c>
      <c r="V191" s="21" t="s">
        <v>1065</v>
      </c>
    </row>
    <row r="192" spans="1:22" ht="16.05" customHeight="1">
      <c r="A192" s="22" t="s">
        <v>1052</v>
      </c>
      <c r="B192" s="23" t="s">
        <v>47</v>
      </c>
      <c r="C192" s="23">
        <v>20</v>
      </c>
      <c r="D192" s="23" t="s">
        <v>797</v>
      </c>
      <c r="E192" s="23" t="s">
        <v>798</v>
      </c>
      <c r="F192" s="24" t="s">
        <v>799</v>
      </c>
      <c r="G192" s="23">
        <v>12</v>
      </c>
      <c r="H192" s="23">
        <v>2</v>
      </c>
      <c r="I192" s="23">
        <v>19</v>
      </c>
      <c r="J192" s="23" t="s">
        <v>1282</v>
      </c>
      <c r="K192" s="23" t="s">
        <v>1283</v>
      </c>
      <c r="L192" s="23" t="s">
        <v>1284</v>
      </c>
      <c r="M192" s="23" t="s">
        <v>1285</v>
      </c>
      <c r="N192" s="23" t="s">
        <v>1286</v>
      </c>
      <c r="O192" s="23" t="s">
        <v>1287</v>
      </c>
      <c r="P192" s="23" t="s">
        <v>1288</v>
      </c>
      <c r="Q192" s="23" t="s">
        <v>1289</v>
      </c>
      <c r="R192" s="23" t="s">
        <v>1290</v>
      </c>
      <c r="S192" s="23" t="s">
        <v>1291</v>
      </c>
      <c r="T192" s="23" t="s">
        <v>1292</v>
      </c>
      <c r="U192" s="23" t="s">
        <v>1293</v>
      </c>
      <c r="V192" s="25" t="s">
        <v>1065</v>
      </c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Summary</vt:lpstr>
      <vt:lpstr>Plan_14_Rings</vt:lpstr>
      <vt:lpstr>Detailed_Plan</vt:lpstr>
      <vt:lpstr>R00_Separate</vt:lpstr>
      <vt:lpstr>Settings</vt:lpstr>
      <vt:lpstr>Config_12x_Year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Prajuktra Kaewmanee</cp:lastModifiedBy>
  <dcterms:modified xsi:type="dcterms:W3CDTF">2026-10-03T18:51:56Z</dcterms:modified>
</cp:coreProperties>
</file>